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_4th_year\Second sem\Adv control\Invert_pendulum_control\"/>
    </mc:Choice>
  </mc:AlternateContent>
  <xr:revisionPtr revIDLastSave="0" documentId="8_{24E78B06-43D7-4682-AA1F-017DD44E42F3}" xr6:coauthVersionLast="47" xr6:coauthVersionMax="47" xr10:uidLastSave="{00000000-0000-0000-0000-000000000000}"/>
  <bookViews>
    <workbookView xWindow="-108" yWindow="-108" windowWidth="23256" windowHeight="12456" xr2:uid="{C9C7E970-3DC2-4B96-97E5-6050B8B06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6" i="1"/>
  <c r="F17" i="1"/>
  <c r="F19" i="1"/>
  <c r="F23" i="1"/>
  <c r="F24" i="1"/>
  <c r="F25" i="1"/>
  <c r="F26" i="1"/>
  <c r="F27" i="1"/>
  <c r="F31" i="1"/>
  <c r="F32" i="1"/>
  <c r="F33" i="1"/>
  <c r="F34" i="1"/>
  <c r="F39" i="1"/>
  <c r="F40" i="1"/>
  <c r="F41" i="1"/>
  <c r="F42" i="1"/>
  <c r="F46" i="1"/>
  <c r="F47" i="1"/>
  <c r="F48" i="1"/>
  <c r="F49" i="1"/>
  <c r="E55" i="1"/>
  <c r="E56" i="1"/>
  <c r="E57" i="1"/>
  <c r="E62" i="1"/>
  <c r="E63" i="1"/>
  <c r="E64" i="1"/>
  <c r="E71" i="1"/>
  <c r="E72" i="1"/>
  <c r="E7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FFC-E72A-4FFC-9A11-61C9C9951949}">
  <dimension ref="A4:J211"/>
  <sheetViews>
    <sheetView tabSelected="1" zoomScale="84" workbookViewId="0">
      <selection activeCell="K199" sqref="K199"/>
    </sheetView>
  </sheetViews>
  <sheetFormatPr defaultRowHeight="13.8" x14ac:dyDescent="0.25"/>
  <cols>
    <col min="1" max="1" width="8.69921875" style="1"/>
    <col min="2" max="2" width="8.69921875" style="2"/>
    <col min="8" max="9" width="8.69921875" style="2"/>
  </cols>
  <sheetData>
    <row r="4" spans="2:10" x14ac:dyDescent="0.25">
      <c r="B4" s="1">
        <v>1</v>
      </c>
      <c r="C4" s="2">
        <v>0</v>
      </c>
      <c r="D4" s="2">
        <v>0</v>
      </c>
      <c r="F4" s="2">
        <v>0</v>
      </c>
      <c r="G4" s="2">
        <v>0</v>
      </c>
      <c r="H4"/>
      <c r="I4" s="2">
        <v>0</v>
      </c>
      <c r="J4" s="2">
        <v>0</v>
      </c>
    </row>
    <row r="5" spans="2:10" x14ac:dyDescent="0.25">
      <c r="B5" s="1">
        <v>2</v>
      </c>
      <c r="C5" s="2">
        <v>-0.67020650000000004</v>
      </c>
      <c r="D5" s="2">
        <v>12.06</v>
      </c>
      <c r="F5" s="2">
        <v>0.83775809999999995</v>
      </c>
      <c r="G5" s="2">
        <v>-11.34</v>
      </c>
      <c r="H5"/>
      <c r="I5" s="2">
        <v>2.8483773999999999</v>
      </c>
      <c r="J5" s="2">
        <v>-21.24</v>
      </c>
    </row>
    <row r="6" spans="2:10" x14ac:dyDescent="0.25">
      <c r="B6" s="1">
        <v>3</v>
      </c>
      <c r="C6" s="2">
        <v>-0.16755162000000001</v>
      </c>
      <c r="D6" s="2">
        <v>14.4</v>
      </c>
      <c r="F6" s="2">
        <v>1.0890854999999999</v>
      </c>
      <c r="G6" s="2">
        <v>-21.6</v>
      </c>
      <c r="H6"/>
      <c r="I6" s="2">
        <v>5.5292032000000004</v>
      </c>
      <c r="J6" s="2">
        <v>-41.58</v>
      </c>
    </row>
    <row r="7" spans="2:10" x14ac:dyDescent="0.25">
      <c r="B7" s="1">
        <v>4</v>
      </c>
      <c r="C7" s="2">
        <v>1.6755161999999999</v>
      </c>
      <c r="D7" s="2">
        <v>0.72</v>
      </c>
      <c r="F7" s="2">
        <v>0.50265484000000005</v>
      </c>
      <c r="G7" s="2">
        <v>-21.960001599999998</v>
      </c>
      <c r="H7"/>
      <c r="I7" s="2">
        <v>3.6861351999999998</v>
      </c>
      <c r="J7" s="2">
        <v>-36.36</v>
      </c>
    </row>
    <row r="8" spans="2:10" x14ac:dyDescent="0.25">
      <c r="B8" s="1">
        <v>5</v>
      </c>
      <c r="C8" s="2">
        <v>2.9321532000000001</v>
      </c>
      <c r="D8" s="2">
        <v>-12.780001</v>
      </c>
      <c r="F8" s="2">
        <f>-0.418879068</f>
        <v>-0.41887906800000002</v>
      </c>
      <c r="G8" s="2">
        <v>-13.86</v>
      </c>
      <c r="H8"/>
      <c r="I8" s="2">
        <v>1.0890854999999999</v>
      </c>
      <c r="J8" s="2">
        <v>-18.899999999999999</v>
      </c>
    </row>
    <row r="9" spans="2:10" x14ac:dyDescent="0.25">
      <c r="B9" s="1">
        <v>6</v>
      </c>
      <c r="C9" s="2">
        <v>3.0997050000000002</v>
      </c>
      <c r="D9" s="2">
        <v>-21.78</v>
      </c>
      <c r="F9" s="2">
        <f>-0.8377581</f>
        <v>-0.83775809999999995</v>
      </c>
      <c r="G9" s="2">
        <v>-3.78</v>
      </c>
      <c r="H9"/>
      <c r="I9" s="2">
        <v>-1.1728613000000001</v>
      </c>
      <c r="J9" s="2">
        <v>1.08</v>
      </c>
    </row>
    <row r="10" spans="2:10" x14ac:dyDescent="0.25">
      <c r="B10" s="1">
        <v>7</v>
      </c>
      <c r="C10" s="2">
        <v>2.1781709999999999</v>
      </c>
      <c r="D10" s="2">
        <v>-19.260000000000002</v>
      </c>
      <c r="F10" s="2">
        <v>-1.0053097</v>
      </c>
      <c r="G10" s="2">
        <v>3.96</v>
      </c>
      <c r="H10"/>
      <c r="I10" s="2">
        <v>-4.8589969999999996</v>
      </c>
      <c r="J10" s="2">
        <v>24.12</v>
      </c>
    </row>
    <row r="11" spans="2:10" x14ac:dyDescent="0.25">
      <c r="B11" s="1">
        <v>8</v>
      </c>
      <c r="C11" s="2">
        <v>0.75398224000000003</v>
      </c>
      <c r="D11" s="2">
        <v>-8.1</v>
      </c>
      <c r="F11" s="2">
        <v>-0.58643067999999998</v>
      </c>
      <c r="G11" s="2">
        <v>6.1200004000000003</v>
      </c>
      <c r="H11"/>
      <c r="I11" s="2">
        <v>-4.2725663999999997</v>
      </c>
      <c r="J11" s="2">
        <v>10.980000799999999</v>
      </c>
    </row>
    <row r="12" spans="2:10" x14ac:dyDescent="0.25">
      <c r="B12" s="1">
        <v>9</v>
      </c>
      <c r="C12" s="2">
        <v>-0.33510324000000002</v>
      </c>
      <c r="D12" s="2">
        <v>3.96</v>
      </c>
      <c r="F12" s="2">
        <v>0.50265484000000005</v>
      </c>
      <c r="G12" s="2">
        <v>-5.4</v>
      </c>
      <c r="H12"/>
      <c r="I12" s="2">
        <v>-1.1728613000000001</v>
      </c>
      <c r="J12" s="2">
        <v>-11.7</v>
      </c>
    </row>
    <row r="13" spans="2:10" x14ac:dyDescent="0.25">
      <c r="B13" s="1">
        <v>10</v>
      </c>
      <c r="C13" s="2">
        <v>-0.67020650000000004</v>
      </c>
      <c r="D13" s="2">
        <v>15.480001</v>
      </c>
      <c r="F13" s="2">
        <v>1.0890854999999999</v>
      </c>
      <c r="G13" s="2">
        <v>-15.84</v>
      </c>
      <c r="H13"/>
      <c r="I13" s="2">
        <v>2.1781709999999999</v>
      </c>
      <c r="J13" s="2">
        <v>-29.88</v>
      </c>
    </row>
    <row r="14" spans="2:10" x14ac:dyDescent="0.25">
      <c r="B14" s="1">
        <v>11</v>
      </c>
      <c r="C14" s="2">
        <v>0.50265484000000005</v>
      </c>
      <c r="D14" s="2">
        <v>9.9</v>
      </c>
      <c r="F14" s="2">
        <v>1.0053097</v>
      </c>
      <c r="G14" s="2">
        <v>-23.76</v>
      </c>
      <c r="H14"/>
      <c r="I14" s="2">
        <v>4.1050144</v>
      </c>
      <c r="J14" s="2">
        <v>-46.08</v>
      </c>
    </row>
    <row r="15" spans="2:10" x14ac:dyDescent="0.25">
      <c r="B15" s="1">
        <v>12</v>
      </c>
      <c r="C15" s="2">
        <v>2.2619470000000002</v>
      </c>
      <c r="D15" s="2">
        <v>-5.22</v>
      </c>
      <c r="F15" s="2">
        <v>0.16755162000000001</v>
      </c>
      <c r="G15" s="2">
        <v>-20.34</v>
      </c>
      <c r="H15"/>
      <c r="I15" s="2">
        <v>0.83775809999999995</v>
      </c>
      <c r="J15" s="2">
        <v>-31.32</v>
      </c>
    </row>
    <row r="16" spans="2:10" x14ac:dyDescent="0.25">
      <c r="B16" s="1">
        <v>13</v>
      </c>
      <c r="C16" s="2">
        <v>3.0997050000000002</v>
      </c>
      <c r="D16" s="2">
        <v>-16.920000000000002</v>
      </c>
      <c r="F16" s="2">
        <f>-0.50265484</f>
        <v>-0.50265484000000005</v>
      </c>
      <c r="G16" s="2">
        <v>-12.240000999999999</v>
      </c>
      <c r="H16"/>
      <c r="I16" s="2">
        <v>-2.5970499999999999</v>
      </c>
      <c r="J16" s="2">
        <v>-8.64</v>
      </c>
    </row>
    <row r="17" spans="2:10" x14ac:dyDescent="0.25">
      <c r="B17" s="1">
        <v>14</v>
      </c>
      <c r="C17" s="2">
        <v>3.0997050000000002</v>
      </c>
      <c r="D17" s="2">
        <v>-24.480001999999999</v>
      </c>
      <c r="F17" s="2">
        <f>-1.0053097</f>
        <v>-1.0053097</v>
      </c>
      <c r="G17" s="2">
        <v>-3.4199997999999998</v>
      </c>
      <c r="H17"/>
      <c r="I17" s="2">
        <v>-4.440118</v>
      </c>
      <c r="J17" s="2">
        <v>5.58</v>
      </c>
    </row>
    <row r="18" spans="2:10" x14ac:dyDescent="0.25">
      <c r="B18" s="1">
        <v>15</v>
      </c>
      <c r="C18" s="2">
        <v>1.6755161999999999</v>
      </c>
      <c r="D18" s="2">
        <v>-16.739999999999998</v>
      </c>
      <c r="F18" s="2">
        <v>-0.92153379999999996</v>
      </c>
      <c r="G18" s="2">
        <v>3.6</v>
      </c>
      <c r="H18"/>
      <c r="I18" s="2">
        <v>-6.1994100000000003</v>
      </c>
      <c r="J18" s="2">
        <v>20.16</v>
      </c>
    </row>
    <row r="19" spans="2:10" x14ac:dyDescent="0.25">
      <c r="B19" s="1">
        <v>16</v>
      </c>
      <c r="C19" s="2">
        <v>0.33510324000000002</v>
      </c>
      <c r="D19" s="2">
        <v>-4.6800003999999999</v>
      </c>
      <c r="F19" s="2">
        <f>-0.25132744</f>
        <v>-0.25132744000000001</v>
      </c>
      <c r="G19" s="2">
        <v>-2.7</v>
      </c>
      <c r="H19"/>
      <c r="I19" s="2">
        <v>-4.1887904000000002</v>
      </c>
      <c r="J19" s="2">
        <v>-0.18</v>
      </c>
    </row>
    <row r="20" spans="2:10" x14ac:dyDescent="0.25">
      <c r="B20" s="1">
        <v>17</v>
      </c>
      <c r="C20" s="2">
        <v>-0.58643067999999998</v>
      </c>
      <c r="D20" s="2">
        <v>7.2</v>
      </c>
      <c r="F20" s="2">
        <v>0.58643067999999998</v>
      </c>
      <c r="G20" s="2">
        <v>-15.66</v>
      </c>
      <c r="H20"/>
      <c r="I20" s="2">
        <v>-2.0106193999999999</v>
      </c>
      <c r="J20" s="2">
        <v>-19.440000000000001</v>
      </c>
    </row>
    <row r="21" spans="2:10" x14ac:dyDescent="0.25">
      <c r="B21" s="1">
        <v>18</v>
      </c>
      <c r="C21" s="2">
        <v>-0.75398224000000003</v>
      </c>
      <c r="D21" s="2">
        <v>17.460001599999998</v>
      </c>
      <c r="F21" s="2">
        <v>1.0053097</v>
      </c>
      <c r="G21" s="2">
        <v>-26.46</v>
      </c>
      <c r="H21"/>
      <c r="I21" s="2">
        <v>0.83775809999999995</v>
      </c>
      <c r="J21" s="2">
        <v>-38.700000000000003</v>
      </c>
    </row>
    <row r="22" spans="2:10" x14ac:dyDescent="0.25">
      <c r="B22" s="1">
        <v>19</v>
      </c>
      <c r="C22" s="2">
        <v>0.83775809999999995</v>
      </c>
      <c r="D22" s="2">
        <v>5.58</v>
      </c>
      <c r="F22" s="2">
        <v>0.58643067999999998</v>
      </c>
      <c r="G22" s="2">
        <v>-28.619997999999999</v>
      </c>
      <c r="H22"/>
      <c r="I22" s="2">
        <v>-0.25132744000000001</v>
      </c>
      <c r="J22" s="2">
        <v>-49.86</v>
      </c>
    </row>
    <row r="23" spans="2:10" x14ac:dyDescent="0.25">
      <c r="B23" s="1">
        <v>20</v>
      </c>
      <c r="C23" s="2">
        <v>2.1781709999999999</v>
      </c>
      <c r="D23" s="2">
        <v>-8.64</v>
      </c>
      <c r="F23" s="2">
        <f>-0.08377581</f>
        <v>-8.3775810000000006E-2</v>
      </c>
      <c r="G23" s="2">
        <v>-22.32</v>
      </c>
      <c r="H23"/>
      <c r="I23" s="2">
        <v>-3.1834804000000001</v>
      </c>
      <c r="J23" s="2">
        <v>-32.76</v>
      </c>
    </row>
    <row r="24" spans="2:10" x14ac:dyDescent="0.25">
      <c r="B24" s="1">
        <v>21</v>
      </c>
      <c r="C24" s="2">
        <v>2.6808260000000002</v>
      </c>
      <c r="D24" s="2">
        <v>-19.079999999999998</v>
      </c>
      <c r="F24" s="2">
        <f>-0.9215338</f>
        <v>-0.92153379999999996</v>
      </c>
      <c r="G24" s="2">
        <v>-14.04</v>
      </c>
      <c r="H24"/>
      <c r="I24" s="2">
        <v>-5.9480820000000003</v>
      </c>
      <c r="J24" s="2">
        <v>-13.86</v>
      </c>
    </row>
    <row r="25" spans="2:10" x14ac:dyDescent="0.25">
      <c r="B25" s="1">
        <v>22</v>
      </c>
      <c r="C25" s="2">
        <v>2.3457226000000002</v>
      </c>
      <c r="D25" s="2">
        <v>-24.12</v>
      </c>
      <c r="F25" s="2">
        <f>-1.2566371</f>
        <v>-1.2566371000000001</v>
      </c>
      <c r="G25" s="2">
        <v>-6.1200004000000003</v>
      </c>
      <c r="H25"/>
      <c r="I25" s="2">
        <v>-8.2100290000000005</v>
      </c>
      <c r="J25" s="2">
        <v>7.2</v>
      </c>
    </row>
    <row r="26" spans="2:10" x14ac:dyDescent="0.25">
      <c r="B26" s="1">
        <v>23</v>
      </c>
      <c r="C26" s="2">
        <v>0.92153379999999996</v>
      </c>
      <c r="D26" s="2">
        <v>-13.679999</v>
      </c>
      <c r="F26" s="2">
        <f>-1.0890855</f>
        <v>-1.0890854999999999</v>
      </c>
      <c r="G26" s="2">
        <v>-0.36</v>
      </c>
      <c r="H26"/>
      <c r="I26" s="2">
        <v>-9.466666</v>
      </c>
      <c r="J26" s="2">
        <v>13.139999</v>
      </c>
    </row>
    <row r="27" spans="2:10" x14ac:dyDescent="0.25">
      <c r="B27" s="1">
        <v>24</v>
      </c>
      <c r="C27" s="2">
        <v>-0.33510324000000002</v>
      </c>
      <c r="D27" s="2">
        <v>-1.98</v>
      </c>
      <c r="F27" s="2">
        <f>-0.08377581</f>
        <v>-8.3775810000000006E-2</v>
      </c>
      <c r="G27" s="2">
        <v>-9.3600010000000005</v>
      </c>
      <c r="H27"/>
      <c r="I27" s="2">
        <v>-6.3669609999999999</v>
      </c>
      <c r="J27" s="2">
        <v>-8.2799999999999994</v>
      </c>
    </row>
    <row r="28" spans="2:10" x14ac:dyDescent="0.25">
      <c r="B28" s="1">
        <v>25</v>
      </c>
      <c r="C28" s="2">
        <v>-1.0053097</v>
      </c>
      <c r="D28" s="2">
        <v>9.5399999999999991</v>
      </c>
      <c r="F28" s="2">
        <v>0.75398224000000003</v>
      </c>
      <c r="G28" s="2">
        <v>-21.24</v>
      </c>
      <c r="H28"/>
      <c r="I28" s="2">
        <v>-3.8536869999999999</v>
      </c>
      <c r="J28" s="2">
        <v>-28.619997999999999</v>
      </c>
    </row>
    <row r="29" spans="2:10" x14ac:dyDescent="0.25">
      <c r="B29" s="1">
        <v>26</v>
      </c>
      <c r="C29" s="2">
        <v>-0.50265484000000005</v>
      </c>
      <c r="D29" s="2">
        <v>13.32</v>
      </c>
      <c r="F29" s="2">
        <v>0.83775809999999995</v>
      </c>
      <c r="G29" s="2">
        <v>-30.78</v>
      </c>
      <c r="H29"/>
      <c r="I29" s="2">
        <v>-1.6755161999999999</v>
      </c>
      <c r="J29" s="2">
        <v>-47.88</v>
      </c>
    </row>
    <row r="30" spans="2:10" x14ac:dyDescent="0.25">
      <c r="B30" s="1">
        <v>27</v>
      </c>
      <c r="C30" s="2">
        <v>1.3404130000000001</v>
      </c>
      <c r="D30" s="2">
        <v>-1.26</v>
      </c>
      <c r="F30" s="2">
        <v>0.25132744000000001</v>
      </c>
      <c r="G30" s="2">
        <v>-30.42</v>
      </c>
      <c r="H30"/>
      <c r="I30" s="2">
        <v>-3.6023596000000002</v>
      </c>
      <c r="J30" s="2">
        <v>-48.600003999999998</v>
      </c>
    </row>
    <row r="31" spans="2:10" x14ac:dyDescent="0.25">
      <c r="B31" s="1">
        <v>28</v>
      </c>
      <c r="C31" s="2">
        <v>2.5970499999999999</v>
      </c>
      <c r="D31" s="2">
        <v>-14.76</v>
      </c>
      <c r="F31" s="2">
        <f>-0.418879068</f>
        <v>-0.41887906800000002</v>
      </c>
      <c r="G31" s="2">
        <v>-24.12</v>
      </c>
      <c r="H31"/>
      <c r="I31" s="2">
        <v>-6.0318579999999997</v>
      </c>
      <c r="J31" s="2">
        <v>-32.76</v>
      </c>
    </row>
    <row r="32" spans="2:10" x14ac:dyDescent="0.25">
      <c r="B32" s="1">
        <v>29</v>
      </c>
      <c r="C32" s="2">
        <v>3.0997050000000002</v>
      </c>
      <c r="D32" s="2">
        <v>-24.300001999999999</v>
      </c>
      <c r="F32" s="2">
        <f>-0.8377581</f>
        <v>-0.83775809999999995</v>
      </c>
      <c r="G32" s="2">
        <v>-14.58</v>
      </c>
      <c r="H32"/>
      <c r="I32" s="2">
        <v>-8.0424779999999991</v>
      </c>
      <c r="J32" s="2">
        <v>-14.76</v>
      </c>
    </row>
    <row r="33" spans="2:10" x14ac:dyDescent="0.25">
      <c r="B33" s="1">
        <v>30</v>
      </c>
      <c r="C33" s="2">
        <v>2.3457226000000002</v>
      </c>
      <c r="D33" s="2">
        <v>-23.58</v>
      </c>
      <c r="F33" s="2">
        <f>-1.0053097</f>
        <v>-1.0053097</v>
      </c>
      <c r="G33" s="2">
        <v>-7.38</v>
      </c>
      <c r="H33"/>
      <c r="I33" s="2">
        <v>-11.225958</v>
      </c>
      <c r="J33" s="2">
        <v>7.02</v>
      </c>
    </row>
    <row r="34" spans="2:10" x14ac:dyDescent="0.25">
      <c r="B34" s="1">
        <v>31</v>
      </c>
      <c r="C34" s="2">
        <v>0.67020650000000004</v>
      </c>
      <c r="D34" s="2">
        <v>-11.88</v>
      </c>
      <c r="F34" s="2">
        <f>-0.50265484</f>
        <v>-0.50265484000000005</v>
      </c>
      <c r="G34" s="2">
        <v>-5.4</v>
      </c>
      <c r="H34"/>
      <c r="I34" s="2">
        <v>-10.639526999999999</v>
      </c>
      <c r="J34" s="2">
        <v>-1.6199999</v>
      </c>
    </row>
    <row r="35" spans="2:10" x14ac:dyDescent="0.25">
      <c r="B35" s="1">
        <v>32</v>
      </c>
      <c r="C35" s="2">
        <v>-0.41887906800000002</v>
      </c>
      <c r="D35" s="2">
        <v>0.54</v>
      </c>
      <c r="F35" s="2">
        <v>0.67020650000000004</v>
      </c>
      <c r="G35" s="2">
        <v>-16.920000000000002</v>
      </c>
      <c r="H35"/>
      <c r="I35" s="2">
        <v>-8.7126839999999994</v>
      </c>
      <c r="J35" s="2">
        <v>-23.76</v>
      </c>
    </row>
    <row r="36" spans="2:10" x14ac:dyDescent="0.25">
      <c r="B36" s="1">
        <v>33</v>
      </c>
      <c r="C36" s="2">
        <v>-0.83775809999999995</v>
      </c>
      <c r="D36" s="2">
        <v>12.780001</v>
      </c>
      <c r="F36" s="2">
        <v>1.4241887</v>
      </c>
      <c r="G36" s="2">
        <v>-28.8</v>
      </c>
      <c r="H36"/>
      <c r="I36" s="2">
        <v>-6.8696163600000002</v>
      </c>
      <c r="J36" s="2">
        <v>-43.920003199999996</v>
      </c>
    </row>
    <row r="37" spans="2:10" x14ac:dyDescent="0.25">
      <c r="B37" s="1">
        <v>34</v>
      </c>
      <c r="C37" s="2">
        <v>0.16755162000000001</v>
      </c>
      <c r="D37" s="2">
        <v>9</v>
      </c>
      <c r="F37" s="2">
        <v>1.3404130000000001</v>
      </c>
      <c r="G37" s="2">
        <v>-36.72</v>
      </c>
      <c r="H37"/>
      <c r="I37" s="2">
        <v>-4.6914452000000004</v>
      </c>
      <c r="J37" s="2">
        <v>-66.959999999999994</v>
      </c>
    </row>
    <row r="38" spans="2:10" x14ac:dyDescent="0.25">
      <c r="B38" s="1">
        <v>35</v>
      </c>
      <c r="C38" s="2">
        <v>1.8430675999999999</v>
      </c>
      <c r="D38" s="2">
        <v>-6.66</v>
      </c>
      <c r="F38" s="2">
        <v>0.58643067999999998</v>
      </c>
      <c r="G38" s="2">
        <v>-33.840000000000003</v>
      </c>
      <c r="H38"/>
      <c r="I38" s="2">
        <v>-7.9587016000000004</v>
      </c>
      <c r="J38" s="2">
        <v>-51.66</v>
      </c>
    </row>
    <row r="39" spans="2:10" x14ac:dyDescent="0.25">
      <c r="B39" s="1">
        <v>36</v>
      </c>
      <c r="C39" s="2">
        <v>2.8483773999999999</v>
      </c>
      <c r="D39" s="2">
        <v>-19.079999999999998</v>
      </c>
      <c r="F39" s="2">
        <f>-0.418879068</f>
        <v>-0.41887906800000002</v>
      </c>
      <c r="G39" s="2">
        <v>-25.560002000000001</v>
      </c>
      <c r="H39"/>
      <c r="I39" s="2">
        <v>-10.136872</v>
      </c>
      <c r="J39" s="2">
        <v>-35.28</v>
      </c>
    </row>
    <row r="40" spans="2:10" x14ac:dyDescent="0.25">
      <c r="B40" s="1">
        <v>37</v>
      </c>
      <c r="C40" s="2">
        <v>2.9321532000000001</v>
      </c>
      <c r="D40" s="2">
        <v>-26.820001999999999</v>
      </c>
      <c r="F40" s="2">
        <f>-1.0053097</f>
        <v>-1.0053097</v>
      </c>
      <c r="G40" s="2">
        <v>-17.82</v>
      </c>
      <c r="H40"/>
      <c r="I40" s="2">
        <v>-10.388199999999999</v>
      </c>
      <c r="J40" s="2">
        <v>-20.7</v>
      </c>
    </row>
    <row r="41" spans="2:10" x14ac:dyDescent="0.25">
      <c r="B41" s="1">
        <v>38</v>
      </c>
      <c r="C41" s="2">
        <v>1.6755161999999999</v>
      </c>
      <c r="D41" s="2">
        <v>-19.8</v>
      </c>
      <c r="F41" s="2">
        <f>-1.0053097</f>
        <v>-1.0053097</v>
      </c>
      <c r="G41" s="2">
        <v>-11.88</v>
      </c>
      <c r="H41"/>
      <c r="I41" s="2">
        <v>-13.906784</v>
      </c>
      <c r="J41" s="2">
        <v>-5.76</v>
      </c>
    </row>
    <row r="42" spans="2:10" x14ac:dyDescent="0.25">
      <c r="B42" s="1">
        <v>39</v>
      </c>
      <c r="C42" s="2">
        <v>0.16755162000000001</v>
      </c>
      <c r="D42" s="2">
        <v>-7.7400003999999996</v>
      </c>
      <c r="F42" s="2">
        <f>-0.25132744</f>
        <v>-0.25132744000000001</v>
      </c>
      <c r="G42" s="2">
        <v>-14.94</v>
      </c>
      <c r="H42"/>
      <c r="I42" s="2">
        <v>-12.147491</v>
      </c>
      <c r="J42" s="2">
        <v>-20.16</v>
      </c>
    </row>
    <row r="43" spans="2:10" x14ac:dyDescent="0.25">
      <c r="B43" s="1">
        <v>40</v>
      </c>
      <c r="C43" s="2">
        <v>-0.67020650000000004</v>
      </c>
      <c r="D43" s="2">
        <v>4.32</v>
      </c>
      <c r="F43" s="2">
        <v>0.75398224000000003</v>
      </c>
      <c r="G43" s="2">
        <v>-28.619997999999999</v>
      </c>
      <c r="H43"/>
      <c r="I43" s="2">
        <v>-9.3828910000000008</v>
      </c>
      <c r="J43" s="2">
        <v>-38.159999999999997</v>
      </c>
    </row>
    <row r="44" spans="2:10" x14ac:dyDescent="0.25">
      <c r="B44" s="1">
        <v>41</v>
      </c>
      <c r="C44" s="2">
        <v>-0.83775809999999995</v>
      </c>
      <c r="D44" s="2">
        <v>14.22</v>
      </c>
      <c r="F44" s="2">
        <v>1.0890854999999999</v>
      </c>
      <c r="G44" s="2">
        <v>-40.14</v>
      </c>
      <c r="H44"/>
      <c r="I44" s="2">
        <v>-5.9480820000000003</v>
      </c>
      <c r="J44" s="2">
        <v>-57.420003000000001</v>
      </c>
    </row>
    <row r="45" spans="2:10" x14ac:dyDescent="0.25">
      <c r="B45" s="1">
        <v>42</v>
      </c>
      <c r="C45" s="2">
        <v>0.75398224000000003</v>
      </c>
      <c r="D45" s="2">
        <v>2.7</v>
      </c>
      <c r="F45" s="2">
        <v>0.67020650000000004</v>
      </c>
      <c r="G45" s="2">
        <v>-43.2</v>
      </c>
      <c r="H45"/>
      <c r="I45" s="2">
        <v>-4.1050144</v>
      </c>
      <c r="J45" s="2">
        <v>-66.060007999999996</v>
      </c>
    </row>
    <row r="46" spans="2:10" x14ac:dyDescent="0.25">
      <c r="B46" s="1">
        <v>43</v>
      </c>
      <c r="C46" s="2">
        <v>2.4294983999999999</v>
      </c>
      <c r="D46" s="2">
        <v>-11.7</v>
      </c>
      <c r="F46" s="2">
        <f>-0.25132744</f>
        <v>-0.25132744000000001</v>
      </c>
      <c r="G46" s="2">
        <v>-37.799999999999997</v>
      </c>
      <c r="H46"/>
      <c r="I46" s="2">
        <v>-7.6235983999999997</v>
      </c>
      <c r="J46" s="2">
        <v>-51.3</v>
      </c>
    </row>
    <row r="47" spans="2:10" x14ac:dyDescent="0.25">
      <c r="B47" s="1">
        <v>44</v>
      </c>
      <c r="C47" s="2">
        <v>3.0997050000000002</v>
      </c>
      <c r="D47" s="2">
        <v>-22.140001999999999</v>
      </c>
      <c r="F47" s="2">
        <f>-0.75398224</f>
        <v>-0.75398224000000003</v>
      </c>
      <c r="G47" s="2">
        <v>-29.7</v>
      </c>
      <c r="H47"/>
      <c r="I47" s="2">
        <v>-9.1315629999999999</v>
      </c>
      <c r="J47" s="2">
        <v>-38.700000000000003</v>
      </c>
    </row>
    <row r="48" spans="2:10" x14ac:dyDescent="0.25">
      <c r="B48" s="1">
        <v>45</v>
      </c>
      <c r="C48" s="2">
        <v>2.7646016000000002</v>
      </c>
      <c r="D48" s="2">
        <v>-26.820001999999999</v>
      </c>
      <c r="F48" s="2">
        <f>-1.0053097</f>
        <v>-1.0053097</v>
      </c>
      <c r="G48" s="2">
        <v>-21.06</v>
      </c>
      <c r="H48"/>
      <c r="I48" s="2">
        <v>-11.477285</v>
      </c>
      <c r="J48" s="2">
        <v>-18.720002000000001</v>
      </c>
    </row>
    <row r="49" spans="2:10" x14ac:dyDescent="0.25">
      <c r="B49" s="1">
        <v>46</v>
      </c>
      <c r="C49" s="2">
        <v>1.2566371000000001</v>
      </c>
      <c r="D49" s="2">
        <v>-16.739999999999998</v>
      </c>
      <c r="F49" s="2">
        <f>-0.8377581</f>
        <v>-0.83775809999999995</v>
      </c>
      <c r="G49" s="2">
        <v>-15.84</v>
      </c>
      <c r="H49"/>
      <c r="I49" s="2">
        <v>-12.482595</v>
      </c>
      <c r="J49" s="2">
        <v>-17.82</v>
      </c>
    </row>
    <row r="50" spans="2:10" x14ac:dyDescent="0.25">
      <c r="B50" s="1">
        <v>47</v>
      </c>
      <c r="C50" s="2">
        <v>0.16755162000000001</v>
      </c>
      <c r="D50" s="2">
        <v>-4.8600000000000003</v>
      </c>
      <c r="F50" s="2">
        <v>0</v>
      </c>
      <c r="G50" s="2">
        <v>-25.919998</v>
      </c>
      <c r="H50"/>
      <c r="I50" s="2">
        <v>-9.7179939999999991</v>
      </c>
      <c r="J50" s="2">
        <v>-36</v>
      </c>
    </row>
    <row r="51" spans="2:10" x14ac:dyDescent="0.25">
      <c r="B51" s="1">
        <v>48</v>
      </c>
      <c r="C51" s="2">
        <v>-0.41887906800000002</v>
      </c>
      <c r="D51" s="2">
        <v>6.66</v>
      </c>
      <c r="F51" s="2">
        <v>0.83775809999999995</v>
      </c>
      <c r="G51" s="2">
        <v>-39.42</v>
      </c>
      <c r="H51"/>
      <c r="I51" s="2">
        <v>-6.115634</v>
      </c>
      <c r="J51" s="2">
        <v>-57.96</v>
      </c>
    </row>
    <row r="52" spans="2:10" x14ac:dyDescent="0.25">
      <c r="B52" s="1">
        <v>49</v>
      </c>
      <c r="C52" s="2">
        <v>0</v>
      </c>
      <c r="D52" s="2">
        <v>10.08</v>
      </c>
      <c r="F52" s="2">
        <v>1.0053097</v>
      </c>
      <c r="G52" s="2">
        <v>-53.1</v>
      </c>
      <c r="H52"/>
      <c r="I52" s="2">
        <v>-3.5185836799999999</v>
      </c>
      <c r="J52" s="2">
        <v>-78.3</v>
      </c>
    </row>
    <row r="53" spans="2:10" x14ac:dyDescent="0.25">
      <c r="B53" s="1">
        <v>50</v>
      </c>
      <c r="C53" s="2">
        <v>1.6755161999999999</v>
      </c>
      <c r="D53" s="2">
        <v>-4.1399999999999997</v>
      </c>
      <c r="F53" s="2">
        <v>0.50265484000000005</v>
      </c>
      <c r="G53" s="2">
        <v>-55.98</v>
      </c>
      <c r="H53"/>
      <c r="I53" s="2">
        <v>-4.1887904000000002</v>
      </c>
      <c r="J53" s="2">
        <v>-77.22</v>
      </c>
    </row>
    <row r="54" spans="2:10" x14ac:dyDescent="0.25">
      <c r="B54" s="2">
        <v>2.8483773999999999</v>
      </c>
      <c r="C54" s="2">
        <v>-17.460001599999998</v>
      </c>
      <c r="E54" s="2">
        <v>0</v>
      </c>
      <c r="F54" s="2">
        <v>-48.42</v>
      </c>
      <c r="H54" s="2">
        <v>-6.6182884</v>
      </c>
      <c r="I54" s="2">
        <v>-63.18</v>
      </c>
    </row>
    <row r="55" spans="2:10" x14ac:dyDescent="0.25">
      <c r="B55" s="2">
        <v>3.0159289999999999</v>
      </c>
      <c r="C55" s="2">
        <v>-28.08</v>
      </c>
      <c r="E55" s="2">
        <f>-0.418879068</f>
        <v>-0.41887906800000002</v>
      </c>
      <c r="F55" s="2">
        <v>-38.520000000000003</v>
      </c>
      <c r="H55" s="2">
        <v>-7.7073739999999997</v>
      </c>
      <c r="I55" s="2">
        <v>-45.179996000000003</v>
      </c>
    </row>
    <row r="56" spans="2:10" x14ac:dyDescent="0.25">
      <c r="B56" s="2">
        <v>2.0943952000000001</v>
      </c>
      <c r="C56" s="2">
        <v>-26.46</v>
      </c>
      <c r="E56" s="2">
        <f>-0.6702065</f>
        <v>-0.67020650000000004</v>
      </c>
      <c r="F56" s="2">
        <v>-29.16</v>
      </c>
      <c r="H56" s="2">
        <v>-10.388199999999999</v>
      </c>
      <c r="I56" s="2">
        <v>-22.32</v>
      </c>
    </row>
    <row r="57" spans="2:10" x14ac:dyDescent="0.25">
      <c r="B57" s="2">
        <v>0.50265484000000005</v>
      </c>
      <c r="C57" s="2">
        <v>-15.12</v>
      </c>
      <c r="E57" s="2">
        <f>-0.33510324</f>
        <v>-0.33510324000000002</v>
      </c>
      <c r="F57" s="2">
        <v>-25.740002</v>
      </c>
      <c r="H57" s="2">
        <v>-9.466666</v>
      </c>
      <c r="I57" s="2">
        <v>-30.24</v>
      </c>
    </row>
    <row r="58" spans="2:10" x14ac:dyDescent="0.25">
      <c r="B58" s="2">
        <v>-0.58643067999999998</v>
      </c>
      <c r="C58" s="2">
        <v>-2.88</v>
      </c>
      <c r="E58" s="2">
        <v>0.50265484000000005</v>
      </c>
      <c r="F58" s="2">
        <v>-38.159999999999997</v>
      </c>
      <c r="H58" s="2">
        <v>-6.953392</v>
      </c>
      <c r="I58" s="2">
        <v>-46.44</v>
      </c>
    </row>
    <row r="59" spans="2:10" x14ac:dyDescent="0.25">
      <c r="B59" s="2">
        <v>-1.0890854999999999</v>
      </c>
      <c r="C59" s="2">
        <v>8.64</v>
      </c>
      <c r="E59" s="2">
        <v>1.0053097</v>
      </c>
      <c r="F59" s="2">
        <v>-52.199995999999999</v>
      </c>
      <c r="H59" s="2">
        <v>-3.7699115999999999</v>
      </c>
      <c r="I59" s="2">
        <v>-60.12</v>
      </c>
    </row>
    <row r="60" spans="2:10" x14ac:dyDescent="0.25">
      <c r="B60" s="2">
        <v>0</v>
      </c>
      <c r="C60" s="2">
        <v>4.6800003999999999</v>
      </c>
      <c r="E60" s="2">
        <v>0.92153379999999996</v>
      </c>
      <c r="F60" s="2">
        <v>-63.72</v>
      </c>
      <c r="H60" s="2">
        <v>-0.25132744000000001</v>
      </c>
      <c r="I60" s="2">
        <v>-76.14</v>
      </c>
    </row>
    <row r="61" spans="2:10" x14ac:dyDescent="0.25">
      <c r="B61" s="2">
        <v>1.8430675999999999</v>
      </c>
      <c r="C61" s="2">
        <v>-10.08</v>
      </c>
      <c r="E61" s="2">
        <v>0.33510324000000002</v>
      </c>
      <c r="F61" s="2">
        <v>-61.920003999999999</v>
      </c>
      <c r="H61" s="2">
        <v>-2.5970499999999999</v>
      </c>
      <c r="I61" s="2">
        <v>-66.599999999999994</v>
      </c>
    </row>
    <row r="62" spans="2:10" x14ac:dyDescent="0.25">
      <c r="B62" s="2">
        <v>2.7646016000000002</v>
      </c>
      <c r="C62" s="2">
        <v>-22.140001999999999</v>
      </c>
      <c r="E62" s="2">
        <f>-0.33510324</f>
        <v>-0.33510324000000002</v>
      </c>
      <c r="F62" s="2">
        <v>-52.74</v>
      </c>
      <c r="H62" s="2">
        <v>-3.6023596000000002</v>
      </c>
      <c r="I62" s="2">
        <v>-52.74</v>
      </c>
    </row>
    <row r="63" spans="2:10" x14ac:dyDescent="0.25">
      <c r="B63" s="2">
        <v>2.6808260000000002</v>
      </c>
      <c r="C63" s="2">
        <v>-30.06</v>
      </c>
      <c r="E63" s="2">
        <f>-0.6702065</f>
        <v>-0.67020650000000004</v>
      </c>
      <c r="F63" s="2">
        <v>-44.100003999999998</v>
      </c>
      <c r="H63" s="2">
        <v>-4.6076692000000001</v>
      </c>
      <c r="I63" s="2">
        <v>-35.64</v>
      </c>
    </row>
    <row r="64" spans="2:10" x14ac:dyDescent="0.25">
      <c r="B64" s="2">
        <v>1.2566371000000001</v>
      </c>
      <c r="C64" s="2">
        <v>-22.68</v>
      </c>
      <c r="E64" s="2">
        <f>-0.6702065</f>
        <v>-0.67020650000000004</v>
      </c>
      <c r="F64" s="2">
        <v>-36.36</v>
      </c>
      <c r="H64" s="2">
        <v>-6.7858403599999999</v>
      </c>
      <c r="I64" s="2">
        <v>-22.140001999999999</v>
      </c>
    </row>
    <row r="65" spans="2:9" x14ac:dyDescent="0.25">
      <c r="B65" s="2">
        <v>-8.3775810000000006E-2</v>
      </c>
      <c r="C65" s="2">
        <v>-10.62</v>
      </c>
      <c r="E65" s="2">
        <v>0</v>
      </c>
      <c r="F65" s="2">
        <v>-37.620004000000002</v>
      </c>
      <c r="H65" s="2">
        <v>-5.5292032000000004</v>
      </c>
      <c r="I65" s="2">
        <v>-34.380000000000003</v>
      </c>
    </row>
    <row r="66" spans="2:9" x14ac:dyDescent="0.25">
      <c r="B66" s="2">
        <v>-1.0053097</v>
      </c>
      <c r="C66" s="2">
        <v>1.08</v>
      </c>
      <c r="E66" s="2">
        <v>0.83775809999999995</v>
      </c>
      <c r="F66" s="2">
        <v>-52.199995999999999</v>
      </c>
      <c r="H66" s="2">
        <v>-4.3563419999999997</v>
      </c>
      <c r="I66" s="2">
        <v>-55.260004000000002</v>
      </c>
    </row>
    <row r="67" spans="2:9" x14ac:dyDescent="0.25">
      <c r="B67" s="2">
        <v>-1.3404130000000001</v>
      </c>
      <c r="C67" s="2">
        <v>11.7</v>
      </c>
      <c r="E67" s="2">
        <v>1.2566371000000001</v>
      </c>
      <c r="F67" s="2">
        <v>-67.319999999999993</v>
      </c>
      <c r="H67" s="2">
        <v>-1.0053097</v>
      </c>
      <c r="I67" s="2">
        <v>-76.86</v>
      </c>
    </row>
    <row r="68" spans="2:9" x14ac:dyDescent="0.25">
      <c r="B68" s="2">
        <v>0.33510324000000002</v>
      </c>
      <c r="C68" s="2">
        <v>0.9</v>
      </c>
      <c r="E68" s="2">
        <v>0.92153379999999996</v>
      </c>
      <c r="F68" s="2">
        <v>-72.180000000000007</v>
      </c>
      <c r="H68" s="2">
        <v>0.50265484000000005</v>
      </c>
      <c r="I68" s="2">
        <v>-86.94</v>
      </c>
    </row>
    <row r="69" spans="2:9" x14ac:dyDescent="0.25">
      <c r="B69" s="2">
        <v>1.7592918399999999</v>
      </c>
      <c r="C69" s="2">
        <v>-14.04</v>
      </c>
      <c r="E69" s="2">
        <v>0.67020650000000004</v>
      </c>
      <c r="F69" s="2">
        <v>-65.88</v>
      </c>
      <c r="H69" s="2">
        <v>-2.0943952000000001</v>
      </c>
      <c r="I69" s="2">
        <v>-72.540000000000006</v>
      </c>
    </row>
    <row r="70" spans="2:9" x14ac:dyDescent="0.25">
      <c r="B70" s="2">
        <v>2.3457226000000002</v>
      </c>
      <c r="C70" s="2">
        <v>-25.740002</v>
      </c>
      <c r="E70" s="2">
        <v>8.3775810000000006E-2</v>
      </c>
      <c r="F70" s="2">
        <v>-57.239995999999998</v>
      </c>
      <c r="H70" s="2">
        <v>-4.440118</v>
      </c>
      <c r="I70" s="2">
        <v>-55.8</v>
      </c>
    </row>
    <row r="71" spans="2:9" x14ac:dyDescent="0.25">
      <c r="B71" s="2">
        <v>1.92684352</v>
      </c>
      <c r="C71" s="2">
        <v>-32.04</v>
      </c>
      <c r="E71" s="2">
        <f>-0.33510324</f>
        <v>-0.33510324000000002</v>
      </c>
      <c r="F71" s="2">
        <v>-48.059995999999998</v>
      </c>
      <c r="H71" s="2">
        <v>-7.7073739999999997</v>
      </c>
      <c r="I71" s="2">
        <v>-36.18</v>
      </c>
    </row>
    <row r="72" spans="2:9" x14ac:dyDescent="0.25">
      <c r="B72" s="2">
        <v>0.33510324000000002</v>
      </c>
      <c r="C72" s="2">
        <v>-21.78</v>
      </c>
      <c r="E72" s="2">
        <f>-0.16755162</f>
        <v>-0.16755162000000001</v>
      </c>
      <c r="F72" s="2">
        <v>-43.2</v>
      </c>
      <c r="H72" s="2">
        <v>-10.136872</v>
      </c>
      <c r="I72" s="2">
        <v>-25.740002</v>
      </c>
    </row>
    <row r="73" spans="2:9" x14ac:dyDescent="0.25">
      <c r="B73" s="2">
        <v>-0.83775809999999995</v>
      </c>
      <c r="C73" s="2">
        <v>-9</v>
      </c>
      <c r="E73" s="2">
        <v>0.67020650000000004</v>
      </c>
      <c r="F73" s="2">
        <v>-52.02</v>
      </c>
      <c r="H73" s="2">
        <v>-7.79115</v>
      </c>
      <c r="I73" s="2">
        <v>-44.280003999999998</v>
      </c>
    </row>
    <row r="74" spans="2:9" x14ac:dyDescent="0.25">
      <c r="B74" s="2">
        <v>-1.4241887</v>
      </c>
      <c r="C74" s="2">
        <v>2.88</v>
      </c>
      <c r="E74" s="2">
        <v>1.3404130000000001</v>
      </c>
      <c r="F74" s="2">
        <v>-66.599999999999994</v>
      </c>
      <c r="H74" s="2">
        <v>-4.6076692000000001</v>
      </c>
      <c r="I74" s="2">
        <v>-59.940004000000002</v>
      </c>
    </row>
    <row r="75" spans="2:9" x14ac:dyDescent="0.25">
      <c r="B75" s="2">
        <v>-1.2566371000000001</v>
      </c>
      <c r="C75" s="2">
        <v>6.66</v>
      </c>
      <c r="E75" s="2">
        <v>1.6755161999999999</v>
      </c>
      <c r="F75" s="2">
        <v>-81.900000000000006</v>
      </c>
      <c r="H75" s="2">
        <v>-0.92153379999999996</v>
      </c>
      <c r="I75" s="2">
        <v>-79.020008000000004</v>
      </c>
    </row>
    <row r="76" spans="2:9" x14ac:dyDescent="0.25">
      <c r="B76" s="2">
        <v>0.58643067999999998</v>
      </c>
      <c r="C76" s="2">
        <v>-7.02</v>
      </c>
      <c r="E76" s="2">
        <v>1.1728613000000001</v>
      </c>
      <c r="F76" s="2">
        <v>-84.78</v>
      </c>
      <c r="H76" s="2">
        <v>-3.6023596000000002</v>
      </c>
      <c r="I76" s="2">
        <v>-73.8</v>
      </c>
    </row>
    <row r="77" spans="2:9" x14ac:dyDescent="0.25">
      <c r="B77" s="2">
        <v>1.7592918399999999</v>
      </c>
      <c r="C77" s="2">
        <v>-22.5</v>
      </c>
      <c r="E77" s="2">
        <v>0.67020650000000004</v>
      </c>
      <c r="F77" s="2">
        <v>-78.66</v>
      </c>
      <c r="H77" s="2">
        <v>-5.8643064000000003</v>
      </c>
      <c r="I77" s="2">
        <v>-61.2</v>
      </c>
    </row>
    <row r="78" spans="2:9" x14ac:dyDescent="0.25">
      <c r="B78" s="2">
        <v>2.0106193999999999</v>
      </c>
      <c r="C78" s="2">
        <v>-36.18</v>
      </c>
      <c r="E78" s="2">
        <v>8.3775810000000006E-2</v>
      </c>
      <c r="F78" s="2">
        <v>-70.56</v>
      </c>
      <c r="H78" s="2">
        <v>-8.0424779999999991</v>
      </c>
      <c r="I78" s="2">
        <v>-43.920003199999996</v>
      </c>
    </row>
    <row r="79" spans="2:9" x14ac:dyDescent="0.25">
      <c r="B79" s="2">
        <v>1.2566371000000001</v>
      </c>
      <c r="C79" s="2">
        <v>-34.56</v>
      </c>
      <c r="E79" s="2">
        <f>-0.16755162</f>
        <v>-0.16755162000000001</v>
      </c>
      <c r="F79" s="2">
        <v>-63.18</v>
      </c>
      <c r="H79" s="2">
        <v>-11.225958</v>
      </c>
      <c r="I79" s="2">
        <v>-25.740002</v>
      </c>
    </row>
    <row r="80" spans="2:9" x14ac:dyDescent="0.25">
      <c r="B80" s="2">
        <v>-8.3775810000000006E-2</v>
      </c>
      <c r="C80" s="2">
        <v>-23.04</v>
      </c>
      <c r="E80" s="2">
        <v>0.16755162000000001</v>
      </c>
      <c r="F80" s="2">
        <v>-59.22</v>
      </c>
      <c r="H80" s="2">
        <v>-9.6342169999999996</v>
      </c>
      <c r="I80" s="2">
        <v>-35.82</v>
      </c>
    </row>
    <row r="81" spans="2:9" x14ac:dyDescent="0.25">
      <c r="B81" s="2">
        <v>-1.1728613000000001</v>
      </c>
      <c r="C81" s="2">
        <v>-10.62</v>
      </c>
      <c r="E81" s="2">
        <v>1.2566371000000001</v>
      </c>
      <c r="F81" s="2">
        <v>-68.58</v>
      </c>
      <c r="H81" s="2">
        <v>-7.4560468000000002</v>
      </c>
      <c r="I81" s="2">
        <v>-50.94</v>
      </c>
    </row>
    <row r="82" spans="2:9" x14ac:dyDescent="0.25">
      <c r="B82" s="2">
        <v>-1.5917402</v>
      </c>
      <c r="C82" s="2">
        <v>0.36</v>
      </c>
      <c r="E82" s="2">
        <v>2.1781709999999999</v>
      </c>
      <c r="F82" s="2">
        <v>-80.099999999999994</v>
      </c>
      <c r="H82" s="2">
        <v>-5.2778752000000004</v>
      </c>
      <c r="I82" s="2">
        <v>-68.58</v>
      </c>
    </row>
    <row r="83" spans="2:9" x14ac:dyDescent="0.25">
      <c r="B83" s="2">
        <v>-0.58643067999999998</v>
      </c>
      <c r="C83" s="2">
        <v>-3.6</v>
      </c>
      <c r="E83" s="2">
        <v>2.2619470000000002</v>
      </c>
      <c r="F83" s="2">
        <v>-90.9</v>
      </c>
      <c r="H83" s="2">
        <v>-4.7752210000000002</v>
      </c>
      <c r="I83" s="2">
        <v>-84.420007999999996</v>
      </c>
    </row>
    <row r="84" spans="2:9" x14ac:dyDescent="0.25">
      <c r="B84" s="2">
        <v>1.0053097</v>
      </c>
      <c r="C84" s="2">
        <v>-18.54</v>
      </c>
      <c r="E84" s="2">
        <v>1.6755161999999999</v>
      </c>
      <c r="F84" s="2">
        <v>-90.18</v>
      </c>
      <c r="H84" s="2">
        <v>-7.5398230000000002</v>
      </c>
      <c r="I84" s="2">
        <v>-71.099999999999994</v>
      </c>
    </row>
    <row r="85" spans="2:9" x14ac:dyDescent="0.25">
      <c r="B85" s="2">
        <v>2.0943952000000001</v>
      </c>
      <c r="C85" s="2">
        <v>-30.960001999999999</v>
      </c>
      <c r="E85" s="2">
        <v>0.83775809999999995</v>
      </c>
      <c r="F85" s="2">
        <v>-83.52</v>
      </c>
      <c r="H85" s="2">
        <v>-9.466666</v>
      </c>
      <c r="I85" s="2">
        <v>-54.9</v>
      </c>
    </row>
    <row r="86" spans="2:9" x14ac:dyDescent="0.25">
      <c r="B86" s="2">
        <v>2.0106193999999999</v>
      </c>
      <c r="C86" s="2">
        <v>-43.56</v>
      </c>
      <c r="E86" s="2">
        <v>0.33510324000000002</v>
      </c>
      <c r="F86" s="2">
        <v>-75.959999999999994</v>
      </c>
      <c r="H86" s="2">
        <v>-10.723304000000001</v>
      </c>
      <c r="I86" s="2">
        <v>-36</v>
      </c>
    </row>
    <row r="87" spans="2:9" x14ac:dyDescent="0.25">
      <c r="B87" s="2">
        <v>0.92153379999999996</v>
      </c>
      <c r="C87" s="2">
        <v>-36</v>
      </c>
      <c r="E87" s="2">
        <v>0.25132744000000001</v>
      </c>
      <c r="F87" s="2">
        <v>-68.22</v>
      </c>
      <c r="H87" s="2">
        <v>-12.650146400000001</v>
      </c>
      <c r="I87" s="2">
        <v>-21.78</v>
      </c>
    </row>
    <row r="88" spans="2:9" x14ac:dyDescent="0.25">
      <c r="B88" s="2">
        <v>-0.41887906800000002</v>
      </c>
      <c r="C88" s="2">
        <v>-23.04</v>
      </c>
      <c r="E88" s="2">
        <v>0.75398224000000003</v>
      </c>
      <c r="F88" s="2">
        <v>-66.599999999999994</v>
      </c>
      <c r="H88" s="2">
        <v>-10.890855</v>
      </c>
      <c r="I88" s="2">
        <v>-40.32</v>
      </c>
    </row>
    <row r="89" spans="2:9" x14ac:dyDescent="0.25">
      <c r="B89" s="2">
        <v>-1.4241887</v>
      </c>
      <c r="C89" s="2">
        <v>-10.26</v>
      </c>
      <c r="E89" s="2">
        <v>1.7592918399999999</v>
      </c>
      <c r="F89" s="2">
        <v>-79.2</v>
      </c>
      <c r="H89" s="2">
        <v>-7.3722707999999999</v>
      </c>
      <c r="I89" s="2">
        <v>-56.7</v>
      </c>
    </row>
    <row r="90" spans="2:9" x14ac:dyDescent="0.25">
      <c r="B90" s="2">
        <v>-1.6755161999999999</v>
      </c>
      <c r="C90" s="2">
        <v>0</v>
      </c>
      <c r="E90" s="2">
        <v>2.2619470000000002</v>
      </c>
      <c r="F90" s="2">
        <v>-92.52</v>
      </c>
      <c r="H90" s="2">
        <v>-3.2672561999999998</v>
      </c>
      <c r="I90" s="2">
        <v>-73.079992000000004</v>
      </c>
    </row>
    <row r="91" spans="2:9" x14ac:dyDescent="0.25">
      <c r="B91" s="2">
        <v>0</v>
      </c>
      <c r="C91" s="2">
        <v>-12.6</v>
      </c>
      <c r="E91" s="2">
        <v>2.1781709999999999</v>
      </c>
      <c r="F91" s="2">
        <v>-98.820009999999996</v>
      </c>
      <c r="H91" s="2">
        <v>-3.6023596000000002</v>
      </c>
      <c r="I91" s="2">
        <v>-80.819999999999993</v>
      </c>
    </row>
    <row r="92" spans="2:9" x14ac:dyDescent="0.25">
      <c r="B92" s="2">
        <v>1.5917402</v>
      </c>
      <c r="C92" s="2">
        <v>-27.72</v>
      </c>
      <c r="E92" s="2">
        <v>1.4241887</v>
      </c>
      <c r="F92" s="2">
        <v>-95.399991999999997</v>
      </c>
      <c r="H92" s="2">
        <v>-5.9480820000000003</v>
      </c>
      <c r="I92" s="2">
        <v>-67.86</v>
      </c>
    </row>
    <row r="93" spans="2:9" x14ac:dyDescent="0.25">
      <c r="B93" s="2">
        <v>2.2619470000000002</v>
      </c>
      <c r="C93" s="2">
        <v>-39.6</v>
      </c>
      <c r="E93" s="2">
        <v>0.75398224000000003</v>
      </c>
      <c r="F93" s="2">
        <v>-86.4</v>
      </c>
      <c r="H93" s="2">
        <v>-7.79115</v>
      </c>
      <c r="I93" s="2">
        <v>-52.199995999999999</v>
      </c>
    </row>
    <row r="94" spans="2:9" x14ac:dyDescent="0.25">
      <c r="B94" s="2">
        <v>2.0106193999999999</v>
      </c>
      <c r="C94" s="2">
        <v>-46.98</v>
      </c>
      <c r="E94" s="2">
        <v>0.33510324000000002</v>
      </c>
      <c r="F94" s="2">
        <v>-79.380008000000004</v>
      </c>
      <c r="H94" s="2">
        <v>-10.053096999999999</v>
      </c>
      <c r="I94" s="2">
        <v>-33.299999999999997</v>
      </c>
    </row>
    <row r="95" spans="2:9" x14ac:dyDescent="0.25">
      <c r="B95" s="2">
        <v>0.58643067999999998</v>
      </c>
      <c r="C95" s="2">
        <v>-36.18</v>
      </c>
      <c r="E95" s="2">
        <v>0.50265484000000005</v>
      </c>
      <c r="F95" s="2">
        <v>-72.36</v>
      </c>
      <c r="H95" s="2">
        <v>-11.477285</v>
      </c>
      <c r="I95" s="2">
        <v>-33.299999999999997</v>
      </c>
    </row>
    <row r="96" spans="2:9" x14ac:dyDescent="0.25">
      <c r="B96" s="2">
        <v>-0.41887906800000002</v>
      </c>
      <c r="C96" s="2">
        <v>-23.58</v>
      </c>
      <c r="E96" s="2">
        <v>1.3404130000000001</v>
      </c>
      <c r="F96" s="2">
        <v>-76.14</v>
      </c>
      <c r="H96" s="2">
        <v>-8.0424779999999991</v>
      </c>
      <c r="I96" s="2">
        <v>-53.46</v>
      </c>
    </row>
    <row r="97" spans="2:9" x14ac:dyDescent="0.25">
      <c r="B97" s="2">
        <v>-1.2566371000000001</v>
      </c>
      <c r="C97" s="2">
        <v>-11.52</v>
      </c>
      <c r="E97" s="2">
        <v>2.4294983999999999</v>
      </c>
      <c r="F97" s="2">
        <v>-90</v>
      </c>
      <c r="H97" s="2">
        <v>-5.2778752000000004</v>
      </c>
      <c r="I97" s="2">
        <v>-69.48</v>
      </c>
    </row>
    <row r="98" spans="2:9" x14ac:dyDescent="0.25">
      <c r="B98" s="2">
        <v>-1.0053097</v>
      </c>
      <c r="C98" s="2">
        <v>-6.4799996000000002</v>
      </c>
      <c r="E98" s="2">
        <v>2.8483773999999999</v>
      </c>
      <c r="F98" s="2">
        <v>-103.14</v>
      </c>
      <c r="H98" s="2">
        <v>-2.0943952000000001</v>
      </c>
      <c r="I98" s="2">
        <v>-88.02</v>
      </c>
    </row>
    <row r="99" spans="2:9" x14ac:dyDescent="0.25">
      <c r="B99" s="2">
        <v>0.41887906800000002</v>
      </c>
      <c r="C99" s="2">
        <v>-21.78</v>
      </c>
      <c r="E99" s="2">
        <v>2.4294983999999999</v>
      </c>
      <c r="F99" s="2">
        <v>-107.46</v>
      </c>
      <c r="H99" s="2">
        <v>-2.9321532000000001</v>
      </c>
      <c r="I99" s="2">
        <v>-84.96</v>
      </c>
    </row>
    <row r="100" spans="2:9" x14ac:dyDescent="0.25">
      <c r="B100" s="2">
        <v>1.5917402</v>
      </c>
      <c r="C100" s="2">
        <v>-37.799999999999997</v>
      </c>
      <c r="E100" s="2">
        <v>2.0106193999999999</v>
      </c>
      <c r="F100" s="2">
        <v>-98.820009999999996</v>
      </c>
      <c r="H100" s="2">
        <v>-4.6914452000000004</v>
      </c>
      <c r="I100" s="2">
        <v>-70.02</v>
      </c>
    </row>
    <row r="101" spans="2:9" x14ac:dyDescent="0.25">
      <c r="B101" s="2">
        <v>1.8430675999999999</v>
      </c>
      <c r="C101" s="2">
        <v>-52.559995999999998</v>
      </c>
      <c r="E101" s="2">
        <v>1.1728613000000001</v>
      </c>
      <c r="F101" s="2">
        <v>-90.359989999999996</v>
      </c>
      <c r="H101" s="2">
        <v>-7.0371673599999998</v>
      </c>
      <c r="I101" s="2">
        <v>-51.66</v>
      </c>
    </row>
    <row r="102" spans="2:9" x14ac:dyDescent="0.25">
      <c r="B102" s="2">
        <v>1.3404130000000001</v>
      </c>
      <c r="C102" s="2">
        <v>-53.640003999999998</v>
      </c>
      <c r="E102" s="2">
        <v>0.83775809999999995</v>
      </c>
      <c r="F102" s="2">
        <v>-80.459999999999994</v>
      </c>
      <c r="H102" s="2">
        <v>-10.471975</v>
      </c>
      <c r="I102" s="2">
        <v>-30.6</v>
      </c>
    </row>
    <row r="103" spans="2:9" x14ac:dyDescent="0.25">
      <c r="B103" s="2">
        <v>0.16755162000000001</v>
      </c>
      <c r="C103" s="2">
        <v>-40.68</v>
      </c>
      <c r="E103" s="2">
        <v>1.0890854999999999</v>
      </c>
      <c r="F103" s="2">
        <v>-75.78</v>
      </c>
      <c r="H103" s="2">
        <v>-9.8017690000000002</v>
      </c>
      <c r="I103" s="2">
        <v>-40.14</v>
      </c>
    </row>
    <row r="104" spans="2:9" x14ac:dyDescent="0.25">
      <c r="B104" s="2">
        <v>-1.0053097</v>
      </c>
      <c r="C104" s="2">
        <v>-28.08</v>
      </c>
      <c r="E104" s="2">
        <v>2.0106193999999999</v>
      </c>
      <c r="F104" s="2">
        <v>-85.68</v>
      </c>
      <c r="H104" s="2">
        <v>-6.953392</v>
      </c>
      <c r="I104" s="2">
        <v>-56.52</v>
      </c>
    </row>
    <row r="105" spans="2:9" x14ac:dyDescent="0.25">
      <c r="B105" s="2">
        <v>-1.4241887</v>
      </c>
      <c r="C105" s="2">
        <v>-14.4</v>
      </c>
      <c r="E105" s="2">
        <v>2.5970499999999999</v>
      </c>
      <c r="F105" s="2">
        <v>-98.820009999999996</v>
      </c>
      <c r="H105" s="2">
        <v>-5.0265484000000002</v>
      </c>
      <c r="I105" s="2">
        <v>-73.079992000000004</v>
      </c>
    </row>
    <row r="106" spans="2:9" x14ac:dyDescent="0.25">
      <c r="B106" s="2">
        <v>-0.41887906800000002</v>
      </c>
      <c r="C106" s="2">
        <v>-22.140001999999999</v>
      </c>
      <c r="E106" s="2">
        <v>2.8483773999999999</v>
      </c>
      <c r="F106" s="2">
        <v>-110.16</v>
      </c>
      <c r="H106" s="2">
        <v>-1.6755161999999999</v>
      </c>
      <c r="I106" s="2">
        <v>-87.48</v>
      </c>
    </row>
    <row r="107" spans="2:9" x14ac:dyDescent="0.25">
      <c r="B107" s="2">
        <v>0.50265484000000005</v>
      </c>
      <c r="C107" s="2">
        <v>-41.76</v>
      </c>
      <c r="E107" s="2">
        <v>2.3457226000000002</v>
      </c>
      <c r="F107" s="2">
        <v>-111.420008</v>
      </c>
      <c r="H107" s="2">
        <v>-3.6861351999999998</v>
      </c>
      <c r="I107" s="2">
        <v>-76.319999999999993</v>
      </c>
    </row>
    <row r="108" spans="2:9" x14ac:dyDescent="0.25">
      <c r="B108" s="2">
        <v>1.2566371000000001</v>
      </c>
      <c r="C108" s="2">
        <v>-55.44</v>
      </c>
      <c r="E108" s="2">
        <v>1.92684352</v>
      </c>
      <c r="F108" s="2">
        <v>-101.520008</v>
      </c>
      <c r="H108" s="2">
        <v>-4.9427729999999999</v>
      </c>
      <c r="I108" s="2">
        <v>-62.82</v>
      </c>
    </row>
    <row r="109" spans="2:9" x14ac:dyDescent="0.25">
      <c r="B109" s="2">
        <v>1.3404130000000001</v>
      </c>
      <c r="C109" s="2">
        <v>-71.459999999999994</v>
      </c>
      <c r="E109" s="2">
        <v>1.4241887</v>
      </c>
      <c r="F109" s="2">
        <v>-93.42</v>
      </c>
      <c r="H109" s="2">
        <v>-6.8696163600000002</v>
      </c>
      <c r="I109" s="2">
        <v>-44.46</v>
      </c>
    </row>
    <row r="110" spans="2:9" x14ac:dyDescent="0.25">
      <c r="B110" s="2">
        <v>0.41887906800000002</v>
      </c>
      <c r="C110" s="2">
        <v>-62.28</v>
      </c>
      <c r="E110" s="2">
        <v>1.4241887</v>
      </c>
      <c r="F110" s="2">
        <v>-84.24</v>
      </c>
      <c r="H110" s="2">
        <v>-10.723304000000001</v>
      </c>
      <c r="I110" s="2">
        <v>-28.98</v>
      </c>
    </row>
    <row r="111" spans="2:9" x14ac:dyDescent="0.25">
      <c r="B111" s="2">
        <v>-0.50265484000000005</v>
      </c>
      <c r="C111" s="2">
        <v>-49.14</v>
      </c>
      <c r="E111" s="2">
        <v>2.0106193999999999</v>
      </c>
      <c r="F111" s="2">
        <v>-85.32</v>
      </c>
      <c r="H111" s="2">
        <v>-8.9640109999999993</v>
      </c>
      <c r="I111" s="2">
        <v>-46.08</v>
      </c>
    </row>
    <row r="112" spans="2:9" x14ac:dyDescent="0.25">
      <c r="B112" s="2">
        <v>-1.2566371000000001</v>
      </c>
      <c r="C112" s="2">
        <v>-36.72</v>
      </c>
      <c r="E112" s="2">
        <v>2.8483773999999999</v>
      </c>
      <c r="F112" s="2">
        <v>-97.920007999999996</v>
      </c>
      <c r="H112" s="2">
        <v>-6.115634</v>
      </c>
      <c r="I112" s="2">
        <v>-62.64</v>
      </c>
    </row>
    <row r="113" spans="2:9" x14ac:dyDescent="0.25">
      <c r="B113" s="2">
        <v>-1.2566371000000001</v>
      </c>
      <c r="C113" s="2">
        <v>-26.820001999999999</v>
      </c>
      <c r="E113" s="2">
        <v>3.4348083200000001</v>
      </c>
      <c r="F113" s="2">
        <v>-110.88</v>
      </c>
      <c r="H113" s="2">
        <v>-3.0997050000000002</v>
      </c>
      <c r="I113" s="2">
        <v>-79.739999999999995</v>
      </c>
    </row>
    <row r="114" spans="2:9" x14ac:dyDescent="0.25">
      <c r="B114" s="2">
        <v>8.3775810000000006E-2</v>
      </c>
      <c r="C114" s="2">
        <v>-40.68</v>
      </c>
      <c r="E114" s="2">
        <v>3.1834804000000001</v>
      </c>
      <c r="F114" s="2">
        <v>-116.1</v>
      </c>
      <c r="H114" s="2">
        <v>-1.6755161999999999</v>
      </c>
      <c r="I114" s="2">
        <v>-89.1</v>
      </c>
    </row>
    <row r="115" spans="2:9" x14ac:dyDescent="0.25">
      <c r="B115" s="2">
        <v>1.1728613000000001</v>
      </c>
      <c r="C115" s="2">
        <v>-55.98</v>
      </c>
      <c r="E115" s="2">
        <v>2.5970499999999999</v>
      </c>
      <c r="F115" s="2">
        <v>-110.16</v>
      </c>
      <c r="H115" s="2">
        <v>-3.9374628</v>
      </c>
      <c r="I115" s="2">
        <v>-74.880008000000004</v>
      </c>
    </row>
    <row r="116" spans="2:9" x14ac:dyDescent="0.25">
      <c r="B116" s="2">
        <v>1.8430675999999999</v>
      </c>
      <c r="C116" s="2">
        <v>-69.659993600000007</v>
      </c>
      <c r="E116" s="2">
        <v>2.0106193999999999</v>
      </c>
      <c r="F116" s="2">
        <v>-100.44</v>
      </c>
      <c r="H116" s="2">
        <v>-6.4507370000000002</v>
      </c>
      <c r="I116" s="2">
        <v>-56.16</v>
      </c>
    </row>
    <row r="117" spans="2:9" x14ac:dyDescent="0.25">
      <c r="B117" s="2">
        <v>1.5917402</v>
      </c>
      <c r="C117" s="2">
        <v>-75.42</v>
      </c>
      <c r="E117" s="2">
        <v>1.6755161999999999</v>
      </c>
      <c r="F117" s="2">
        <v>-92.7</v>
      </c>
      <c r="H117" s="2">
        <v>-8.880236</v>
      </c>
      <c r="I117" s="2">
        <v>-37.620004000000002</v>
      </c>
    </row>
    <row r="118" spans="2:9" x14ac:dyDescent="0.25">
      <c r="B118" s="2">
        <v>8.3775810000000006E-2</v>
      </c>
      <c r="C118" s="2">
        <v>-64.08</v>
      </c>
      <c r="E118" s="2">
        <v>1.8430675999999999</v>
      </c>
      <c r="F118" s="2">
        <v>-88.200007999999997</v>
      </c>
      <c r="H118" s="2">
        <v>-10.220649</v>
      </c>
      <c r="I118" s="2">
        <v>-30.42</v>
      </c>
    </row>
    <row r="119" spans="2:9" x14ac:dyDescent="0.25">
      <c r="B119" s="2">
        <v>-1.2566371000000001</v>
      </c>
      <c r="C119" s="2">
        <v>-51.120004000000002</v>
      </c>
      <c r="E119" s="2">
        <v>2.9321532000000001</v>
      </c>
      <c r="F119" s="2">
        <v>-97.200007999999997</v>
      </c>
      <c r="H119" s="2">
        <v>-7.1209433600000001</v>
      </c>
      <c r="I119" s="2">
        <v>-46.62</v>
      </c>
    </row>
    <row r="120" spans="2:9" x14ac:dyDescent="0.25">
      <c r="B120" s="2">
        <v>-1.6755161999999999</v>
      </c>
      <c r="C120" s="2">
        <v>-37.979999999999997</v>
      </c>
      <c r="E120" s="2">
        <v>3.7699115999999999</v>
      </c>
      <c r="F120" s="2">
        <v>-109.62</v>
      </c>
      <c r="H120" s="2">
        <v>-4.1050144</v>
      </c>
      <c r="I120" s="2">
        <v>-66.42</v>
      </c>
    </row>
    <row r="121" spans="2:9" x14ac:dyDescent="0.25">
      <c r="B121" s="2">
        <v>-1.0890854999999999</v>
      </c>
      <c r="C121" s="2">
        <v>-34.74</v>
      </c>
      <c r="E121" s="2">
        <v>4.0212389999999996</v>
      </c>
      <c r="F121" s="2">
        <v>-120.78</v>
      </c>
      <c r="H121" s="2">
        <v>-0.92153379999999996</v>
      </c>
      <c r="I121" s="2">
        <v>-86.76</v>
      </c>
    </row>
    <row r="122" spans="2:9" x14ac:dyDescent="0.25">
      <c r="B122" s="2">
        <v>0.41887906800000002</v>
      </c>
      <c r="C122" s="2">
        <v>-49.68</v>
      </c>
      <c r="E122" s="2">
        <v>3.4348083200000001</v>
      </c>
      <c r="F122" s="2">
        <v>-122.4</v>
      </c>
      <c r="H122" s="2">
        <v>-2.2619470000000002</v>
      </c>
      <c r="I122" s="2">
        <v>-87.840006399999993</v>
      </c>
    </row>
    <row r="123" spans="2:9" x14ac:dyDescent="0.25">
      <c r="B123" s="2">
        <v>1.1728613000000001</v>
      </c>
      <c r="C123" s="2">
        <v>-66.599999999999994</v>
      </c>
      <c r="E123" s="2">
        <v>3.2672561999999998</v>
      </c>
      <c r="F123" s="2">
        <v>-116.1</v>
      </c>
      <c r="H123" s="2">
        <v>-4.6076692000000001</v>
      </c>
      <c r="I123" s="2">
        <v>-73.260000000000005</v>
      </c>
    </row>
    <row r="124" spans="2:9" x14ac:dyDescent="0.25">
      <c r="B124" s="2">
        <v>1.3404130000000001</v>
      </c>
      <c r="C124" s="2">
        <v>-79.020008000000004</v>
      </c>
      <c r="E124" s="2">
        <v>2.7646016000000002</v>
      </c>
      <c r="F124" s="2">
        <v>-107.28001</v>
      </c>
      <c r="H124" s="2">
        <v>-6.6182884</v>
      </c>
      <c r="I124" s="2">
        <v>-52.38</v>
      </c>
    </row>
    <row r="125" spans="2:9" x14ac:dyDescent="0.25">
      <c r="B125" s="2">
        <v>0.67020650000000004</v>
      </c>
      <c r="C125" s="2">
        <v>-77.760000000000005</v>
      </c>
      <c r="E125" s="2">
        <v>2.8483773999999999</v>
      </c>
      <c r="F125" s="2">
        <v>-97.920007999999996</v>
      </c>
      <c r="H125" s="2">
        <v>-9.9693210000000008</v>
      </c>
      <c r="I125" s="2">
        <v>-30.24</v>
      </c>
    </row>
    <row r="126" spans="2:9" x14ac:dyDescent="0.25">
      <c r="B126" s="2">
        <v>-0.58643067999999998</v>
      </c>
      <c r="C126" s="2">
        <v>-64.8</v>
      </c>
      <c r="E126" s="2">
        <v>3.2672561999999998</v>
      </c>
      <c r="F126" s="2">
        <v>-96.119991999999996</v>
      </c>
      <c r="H126" s="2">
        <v>-10.136872</v>
      </c>
      <c r="I126" s="2">
        <v>-37.620004000000002</v>
      </c>
    </row>
    <row r="127" spans="2:9" x14ac:dyDescent="0.25">
      <c r="B127" s="2">
        <v>-1.6755161999999999</v>
      </c>
      <c r="C127" s="2">
        <v>-50.760004000000002</v>
      </c>
      <c r="E127" s="2">
        <v>4.1050144</v>
      </c>
      <c r="F127" s="2">
        <v>-107.81999</v>
      </c>
      <c r="H127" s="2">
        <v>-8.3775809999999993</v>
      </c>
      <c r="I127" s="2">
        <v>-56.52</v>
      </c>
    </row>
    <row r="128" spans="2:9" x14ac:dyDescent="0.25">
      <c r="B128" s="2">
        <v>-1.92684352</v>
      </c>
      <c r="C128" s="2">
        <v>-39.239995999999998</v>
      </c>
      <c r="E128" s="2">
        <v>4.6914452000000004</v>
      </c>
      <c r="F128" s="2">
        <v>-121.14</v>
      </c>
      <c r="H128" s="2">
        <v>-5.9480820000000003</v>
      </c>
      <c r="I128" s="2">
        <v>-72.180000000000007</v>
      </c>
    </row>
    <row r="129" spans="2:9" x14ac:dyDescent="0.25">
      <c r="B129" s="2">
        <v>-0.67020650000000004</v>
      </c>
      <c r="C129" s="2">
        <v>-47.699995999999999</v>
      </c>
      <c r="E129" s="2">
        <v>4.440118</v>
      </c>
      <c r="F129" s="2">
        <v>-129.06</v>
      </c>
      <c r="H129" s="2">
        <v>-4.1887904000000002</v>
      </c>
      <c r="I129" s="2">
        <v>-90.359989999999996</v>
      </c>
    </row>
    <row r="130" spans="2:9" x14ac:dyDescent="0.25">
      <c r="B130" s="2">
        <v>0.41887906800000002</v>
      </c>
      <c r="C130" s="2">
        <v>-67.319999999999993</v>
      </c>
      <c r="E130" s="2">
        <v>3.9374628</v>
      </c>
      <c r="F130" s="2">
        <v>-125.64</v>
      </c>
      <c r="H130" s="2">
        <v>-5.9480820000000003</v>
      </c>
      <c r="I130" s="2">
        <v>-77.760000000000005</v>
      </c>
    </row>
    <row r="131" spans="2:9" x14ac:dyDescent="0.25">
      <c r="B131" s="2">
        <v>1.0890854999999999</v>
      </c>
      <c r="C131" s="2">
        <v>-80.099999999999994</v>
      </c>
      <c r="E131" s="2">
        <v>3.4348083200000001</v>
      </c>
      <c r="F131" s="2">
        <v>-117.71999</v>
      </c>
      <c r="H131" s="2">
        <v>-8.5451329999999999</v>
      </c>
      <c r="I131" s="2">
        <v>-61.379995999999998</v>
      </c>
    </row>
    <row r="132" spans="2:9" x14ac:dyDescent="0.25">
      <c r="B132" s="2">
        <v>1.0890854999999999</v>
      </c>
      <c r="C132" s="2">
        <v>-91.62</v>
      </c>
      <c r="E132" s="2">
        <v>3.0997050000000002</v>
      </c>
      <c r="F132" s="2">
        <v>-109.98</v>
      </c>
      <c r="H132" s="2">
        <v>-10.555751000000001</v>
      </c>
      <c r="I132" s="2">
        <v>-39.78</v>
      </c>
    </row>
    <row r="133" spans="2:9" x14ac:dyDescent="0.25">
      <c r="B133" s="2">
        <v>-0.16755162000000001</v>
      </c>
      <c r="C133" s="2">
        <v>-80.819999999999993</v>
      </c>
      <c r="E133" s="2">
        <v>3.2672561999999998</v>
      </c>
      <c r="F133" s="2">
        <v>-104.22</v>
      </c>
      <c r="H133" s="2">
        <v>-14.57699</v>
      </c>
      <c r="I133" s="2">
        <v>-23.04</v>
      </c>
    </row>
    <row r="134" spans="2:9" x14ac:dyDescent="0.25">
      <c r="B134" s="2">
        <v>-0.92153379999999996</v>
      </c>
      <c r="C134" s="2">
        <v>-65.340003999999993</v>
      </c>
      <c r="E134" s="2">
        <v>4.0212389999999996</v>
      </c>
      <c r="F134" s="2">
        <v>-108.00001</v>
      </c>
      <c r="H134" s="2">
        <v>-12.817698399999999</v>
      </c>
      <c r="I134" s="2">
        <v>-39.059995999999998</v>
      </c>
    </row>
    <row r="135" spans="2:9" x14ac:dyDescent="0.25">
      <c r="B135" s="2">
        <v>-1.5917402</v>
      </c>
      <c r="C135" s="2">
        <v>-51.839995999999999</v>
      </c>
      <c r="E135" s="2">
        <v>5.1103243999999997</v>
      </c>
      <c r="F135" s="2">
        <v>-121.68</v>
      </c>
      <c r="H135" s="2">
        <v>-10.471975</v>
      </c>
      <c r="I135" s="2">
        <v>-58.140003999999998</v>
      </c>
    </row>
    <row r="136" spans="2:9" x14ac:dyDescent="0.25">
      <c r="B136" s="2">
        <v>-1.3404130000000001</v>
      </c>
      <c r="C136" s="2">
        <v>-45.72</v>
      </c>
      <c r="E136" s="2">
        <v>5.4454276000000004</v>
      </c>
      <c r="F136" s="2">
        <v>-134.28</v>
      </c>
      <c r="H136" s="2">
        <v>-6.953392</v>
      </c>
      <c r="I136" s="2">
        <v>-76.86</v>
      </c>
    </row>
    <row r="137" spans="2:9" x14ac:dyDescent="0.25">
      <c r="B137" s="2">
        <v>0.33510324000000002</v>
      </c>
      <c r="C137" s="2">
        <v>-61.920003999999999</v>
      </c>
      <c r="E137" s="2">
        <v>4.9427729999999999</v>
      </c>
      <c r="F137" s="2">
        <v>-137.69999999999999</v>
      </c>
      <c r="H137" s="2">
        <v>-7.2884950000000002</v>
      </c>
      <c r="I137" s="2">
        <v>-84.24</v>
      </c>
    </row>
    <row r="138" spans="2:9" x14ac:dyDescent="0.25">
      <c r="B138" s="2">
        <v>1.1728613000000001</v>
      </c>
      <c r="C138" s="2">
        <v>-78.119991999999996</v>
      </c>
      <c r="E138" s="2">
        <v>4.3563419999999997</v>
      </c>
      <c r="F138" s="2">
        <v>-131.76</v>
      </c>
      <c r="H138" s="2">
        <v>-9.7179939999999991</v>
      </c>
      <c r="I138" s="2">
        <v>-66.959999999999994</v>
      </c>
    </row>
    <row r="139" spans="2:9" x14ac:dyDescent="0.25">
      <c r="B139" s="2">
        <v>1.4241887</v>
      </c>
      <c r="C139" s="2">
        <v>-93.96</v>
      </c>
      <c r="E139" s="2">
        <v>3.6023596000000002</v>
      </c>
      <c r="F139" s="2">
        <v>-123.12</v>
      </c>
      <c r="H139" s="2">
        <v>-11.979939999999999</v>
      </c>
      <c r="I139" s="2">
        <v>-50.94</v>
      </c>
    </row>
    <row r="140" spans="2:9" x14ac:dyDescent="0.25">
      <c r="B140" s="2">
        <v>0.83775809999999995</v>
      </c>
      <c r="C140" s="2">
        <v>-95.399991999999997</v>
      </c>
      <c r="E140" s="2">
        <v>3.3510323999999998</v>
      </c>
      <c r="F140" s="2">
        <v>-113.76</v>
      </c>
      <c r="H140" s="2">
        <v>-14.158111999999999</v>
      </c>
      <c r="I140" s="2">
        <v>-33.119999999999997</v>
      </c>
    </row>
    <row r="141" spans="2:9" x14ac:dyDescent="0.25">
      <c r="B141" s="2">
        <v>-0.58643067999999998</v>
      </c>
      <c r="C141" s="2">
        <v>-81.36</v>
      </c>
      <c r="E141" s="2">
        <v>3.6023596000000002</v>
      </c>
      <c r="F141" s="2">
        <v>-108.18</v>
      </c>
      <c r="H141" s="2">
        <v>-14.828317</v>
      </c>
      <c r="I141" s="2">
        <v>-29.52</v>
      </c>
    </row>
    <row r="142" spans="2:9" x14ac:dyDescent="0.25">
      <c r="B142" s="2">
        <v>-1.5079644999999999</v>
      </c>
      <c r="C142" s="2">
        <v>-67.86</v>
      </c>
      <c r="E142" s="2">
        <v>4.3563419999999997</v>
      </c>
      <c r="F142" s="2">
        <v>-117.36</v>
      </c>
      <c r="H142" s="2">
        <v>-11.728612999999999</v>
      </c>
      <c r="I142" s="2">
        <v>-50.22</v>
      </c>
    </row>
    <row r="143" spans="2:9" x14ac:dyDescent="0.25">
      <c r="B143" s="2">
        <v>-1.8430675999999999</v>
      </c>
      <c r="C143" s="2">
        <v>-57.06</v>
      </c>
      <c r="E143" s="2">
        <v>5.0265484000000002</v>
      </c>
      <c r="F143" s="2">
        <v>-130.31998999999999</v>
      </c>
      <c r="H143" s="2">
        <v>-9.9693210000000008</v>
      </c>
      <c r="I143" s="2">
        <v>-66.959999999999994</v>
      </c>
    </row>
    <row r="144" spans="2:9" x14ac:dyDescent="0.25">
      <c r="B144" s="2">
        <v>-1.2566371000000001</v>
      </c>
      <c r="C144" s="2">
        <v>-64.62</v>
      </c>
      <c r="E144" s="2">
        <v>5.1103243999999997</v>
      </c>
      <c r="F144" s="2">
        <v>-143.1</v>
      </c>
      <c r="H144" s="2">
        <v>-6.8696163600000002</v>
      </c>
      <c r="I144" s="2">
        <v>-83.34</v>
      </c>
    </row>
    <row r="145" spans="2:9" x14ac:dyDescent="0.25">
      <c r="B145" s="2">
        <v>-0.33510324000000002</v>
      </c>
      <c r="C145" s="2">
        <v>-81.72</v>
      </c>
      <c r="E145" s="2">
        <v>4.5238940000000003</v>
      </c>
      <c r="F145" s="2">
        <v>-144.18</v>
      </c>
      <c r="H145" s="2">
        <v>-10.053096999999999</v>
      </c>
      <c r="I145" s="2">
        <v>-80.64</v>
      </c>
    </row>
    <row r="146" spans="2:9" x14ac:dyDescent="0.25">
      <c r="B146" s="2">
        <v>0.75398224000000003</v>
      </c>
      <c r="C146" s="2">
        <v>-95.04</v>
      </c>
      <c r="E146" s="2">
        <v>3.9374628</v>
      </c>
      <c r="F146" s="2">
        <v>-135.54001</v>
      </c>
      <c r="H146" s="2">
        <v>-12.650146400000001</v>
      </c>
      <c r="I146" s="2">
        <v>-66.42</v>
      </c>
    </row>
    <row r="147" spans="2:9" x14ac:dyDescent="0.25">
      <c r="B147" s="2">
        <v>0.83775809999999995</v>
      </c>
      <c r="C147" s="2">
        <v>-106.2</v>
      </c>
      <c r="E147" s="2">
        <v>3.1834804000000001</v>
      </c>
      <c r="F147" s="2">
        <v>-127.26</v>
      </c>
      <c r="H147" s="2">
        <v>-14.660766000000001</v>
      </c>
      <c r="I147" s="2">
        <v>-48.600003999999998</v>
      </c>
    </row>
    <row r="148" spans="2:9" x14ac:dyDescent="0.25">
      <c r="B148" s="2">
        <v>-8.3775810000000006E-2</v>
      </c>
      <c r="C148" s="2">
        <v>-100.08</v>
      </c>
      <c r="E148" s="2">
        <v>3.1834804000000001</v>
      </c>
      <c r="F148" s="2">
        <v>-118.8</v>
      </c>
      <c r="H148" s="2">
        <v>-17.090266</v>
      </c>
      <c r="I148" s="2">
        <v>-29.52</v>
      </c>
    </row>
    <row r="149" spans="2:9" x14ac:dyDescent="0.25">
      <c r="B149" s="2">
        <v>-1.4241887</v>
      </c>
      <c r="C149" s="2">
        <v>-87.12</v>
      </c>
      <c r="E149" s="2">
        <v>3.6023596000000002</v>
      </c>
      <c r="F149" s="2">
        <v>-116.99999</v>
      </c>
      <c r="H149" s="2">
        <v>-15.163422000000001</v>
      </c>
      <c r="I149" s="2">
        <v>-41.94</v>
      </c>
    </row>
    <row r="150" spans="2:9" x14ac:dyDescent="0.25">
      <c r="B150" s="2">
        <v>-2.4294983999999999</v>
      </c>
      <c r="C150" s="2">
        <v>-73.44</v>
      </c>
      <c r="E150" s="2">
        <v>4.440118</v>
      </c>
      <c r="F150" s="2">
        <v>-128.88</v>
      </c>
      <c r="H150" s="2">
        <v>-12.482595</v>
      </c>
      <c r="I150" s="2">
        <v>-60.84</v>
      </c>
    </row>
    <row r="151" spans="2:9" x14ac:dyDescent="0.25">
      <c r="B151" s="2">
        <v>-2.5970499999999999</v>
      </c>
      <c r="C151" s="2">
        <v>-61.379995999999998</v>
      </c>
      <c r="E151" s="2">
        <v>4.7752210000000002</v>
      </c>
      <c r="F151" s="2">
        <v>-142.01999000000001</v>
      </c>
      <c r="H151" s="2">
        <v>-10.555751000000001</v>
      </c>
      <c r="I151" s="2">
        <v>-77.040000000000006</v>
      </c>
    </row>
    <row r="152" spans="2:9" x14ac:dyDescent="0.25">
      <c r="B152" s="2">
        <v>-1.1728613000000001</v>
      </c>
      <c r="C152" s="2">
        <v>-75.78</v>
      </c>
      <c r="E152" s="2">
        <v>4.5238940000000003</v>
      </c>
      <c r="F152" s="2">
        <v>-150.30000000000001</v>
      </c>
      <c r="H152" s="2">
        <v>-9.9693210000000008</v>
      </c>
      <c r="I152" s="2">
        <v>-89.64</v>
      </c>
    </row>
    <row r="153" spans="2:9" x14ac:dyDescent="0.25">
      <c r="B153" s="2">
        <v>0.33510324000000002</v>
      </c>
      <c r="C153" s="2">
        <v>-93.060007999999996</v>
      </c>
      <c r="E153" s="2">
        <v>3.9374628</v>
      </c>
      <c r="F153" s="2">
        <v>-146.88</v>
      </c>
      <c r="H153" s="2">
        <v>-12.650146400000001</v>
      </c>
      <c r="I153" s="2">
        <v>-76.14</v>
      </c>
    </row>
    <row r="154" spans="2:9" x14ac:dyDescent="0.25">
      <c r="B154" s="2">
        <v>0.92153379999999996</v>
      </c>
      <c r="C154" s="2">
        <v>-106.74</v>
      </c>
      <c r="E154" s="2">
        <v>3.3510323999999998</v>
      </c>
      <c r="F154" s="2">
        <v>-138.24</v>
      </c>
      <c r="H154" s="2">
        <v>-14.074335</v>
      </c>
      <c r="I154" s="2">
        <v>-59.58</v>
      </c>
    </row>
    <row r="155" spans="2:9" x14ac:dyDescent="0.25">
      <c r="B155" s="2">
        <v>0.75398224000000003</v>
      </c>
      <c r="C155" s="2">
        <v>-117.36</v>
      </c>
      <c r="E155" s="2">
        <v>2.8483773999999999</v>
      </c>
      <c r="F155" s="2">
        <v>-130.31998999999999</v>
      </c>
      <c r="H155" s="2">
        <v>-16.671385999999998</v>
      </c>
      <c r="I155" s="2">
        <v>-38.700000000000003</v>
      </c>
    </row>
    <row r="156" spans="2:9" x14ac:dyDescent="0.25">
      <c r="B156" s="2">
        <v>-0.50265484000000005</v>
      </c>
      <c r="C156" s="2">
        <v>-104.399992</v>
      </c>
      <c r="E156" s="2">
        <v>3.0159289999999999</v>
      </c>
      <c r="F156" s="2">
        <v>-122.03999</v>
      </c>
      <c r="H156" s="2">
        <v>-19.268433999999999</v>
      </c>
      <c r="I156" s="2">
        <v>-24.12</v>
      </c>
    </row>
    <row r="157" spans="2:9" x14ac:dyDescent="0.25">
      <c r="B157" s="2">
        <v>-1.5079644999999999</v>
      </c>
      <c r="C157" s="2">
        <v>-91.979991999999996</v>
      </c>
      <c r="E157" s="2">
        <v>3.6023596000000002</v>
      </c>
      <c r="F157" s="2">
        <v>-126.17999</v>
      </c>
      <c r="H157" s="2">
        <v>-17.006488000000001</v>
      </c>
      <c r="I157" s="2">
        <v>-42.48</v>
      </c>
    </row>
    <row r="158" spans="2:9" x14ac:dyDescent="0.25">
      <c r="B158" s="2">
        <v>-2.0106193999999999</v>
      </c>
      <c r="C158" s="2">
        <v>-80.28</v>
      </c>
      <c r="E158" s="2">
        <v>4.6076692000000001</v>
      </c>
      <c r="F158" s="2">
        <v>-140.58000000000001</v>
      </c>
      <c r="H158" s="2">
        <v>-13.655457</v>
      </c>
      <c r="I158" s="2">
        <v>-62.28</v>
      </c>
    </row>
    <row r="159" spans="2:9" x14ac:dyDescent="0.25">
      <c r="B159" s="2">
        <v>-1.6755161999999999</v>
      </c>
      <c r="C159" s="2">
        <v>-78.66</v>
      </c>
      <c r="E159" s="2">
        <v>4.9427729999999999</v>
      </c>
      <c r="F159" s="2">
        <v>-153.90001000000001</v>
      </c>
      <c r="H159" s="2">
        <v>-10.388199999999999</v>
      </c>
      <c r="I159" s="2">
        <v>-81.36</v>
      </c>
    </row>
    <row r="160" spans="2:9" x14ac:dyDescent="0.25">
      <c r="B160" s="2">
        <v>-0.16755162000000001</v>
      </c>
      <c r="C160" s="2">
        <v>-94.499989999999997</v>
      </c>
      <c r="E160" s="2">
        <v>4.440118</v>
      </c>
      <c r="F160" s="2">
        <v>-158.58000000000001</v>
      </c>
      <c r="H160" s="2">
        <v>-11.142182</v>
      </c>
      <c r="I160" s="2">
        <v>-87.48</v>
      </c>
    </row>
    <row r="161" spans="2:9" x14ac:dyDescent="0.25">
      <c r="B161" s="2">
        <v>0.83775809999999995</v>
      </c>
      <c r="C161" s="2">
        <v>-110.88</v>
      </c>
      <c r="E161" s="2">
        <v>3.6861351999999998</v>
      </c>
      <c r="F161" s="2">
        <v>-153.36000000000001</v>
      </c>
      <c r="H161" s="2">
        <v>-12.901474</v>
      </c>
      <c r="I161" s="2">
        <v>-74.520008000000004</v>
      </c>
    </row>
    <row r="162" spans="2:9" x14ac:dyDescent="0.25">
      <c r="B162" s="2">
        <v>1.1728613000000001</v>
      </c>
      <c r="C162" s="2">
        <v>-123.479992</v>
      </c>
      <c r="E162" s="2">
        <v>3.0997050000000002</v>
      </c>
      <c r="F162" s="2">
        <v>-145.62</v>
      </c>
      <c r="H162" s="2">
        <v>-14.660766000000001</v>
      </c>
      <c r="I162" s="2">
        <v>-55.260004000000002</v>
      </c>
    </row>
    <row r="163" spans="2:9" x14ac:dyDescent="0.25">
      <c r="B163" s="2">
        <v>0.67020650000000004</v>
      </c>
      <c r="C163" s="2">
        <v>-120.96</v>
      </c>
      <c r="E163" s="2">
        <v>2.8483773999999999</v>
      </c>
      <c r="F163" s="2">
        <v>-137.87998999999999</v>
      </c>
      <c r="H163" s="2">
        <v>-16.838937999999999</v>
      </c>
      <c r="I163" s="2">
        <v>-37.440004000000002</v>
      </c>
    </row>
    <row r="164" spans="2:9" x14ac:dyDescent="0.25">
      <c r="B164" s="2">
        <v>-0.67020650000000004</v>
      </c>
      <c r="C164" s="2">
        <v>-108.36</v>
      </c>
      <c r="E164" s="2">
        <v>3.0997050000000002</v>
      </c>
      <c r="F164" s="2">
        <v>-133.91999999999999</v>
      </c>
      <c r="H164" s="2">
        <v>-17.174040000000002</v>
      </c>
      <c r="I164" s="2">
        <v>-41.58</v>
      </c>
    </row>
    <row r="165" spans="2:9" x14ac:dyDescent="0.25">
      <c r="B165" s="2">
        <v>-1.7592918399999999</v>
      </c>
      <c r="C165" s="2">
        <v>-95.76</v>
      </c>
      <c r="E165" s="2">
        <v>3.8536869999999999</v>
      </c>
      <c r="F165" s="2">
        <v>-144.72</v>
      </c>
      <c r="H165" s="2">
        <v>-14.158111999999999</v>
      </c>
      <c r="I165" s="2">
        <v>-62.64</v>
      </c>
    </row>
    <row r="166" spans="2:9" x14ac:dyDescent="0.25">
      <c r="B166" s="2">
        <v>-2.0106193999999999</v>
      </c>
      <c r="C166" s="2">
        <v>-82.08</v>
      </c>
      <c r="E166" s="2">
        <v>4.440118</v>
      </c>
      <c r="F166" s="2">
        <v>-158.22</v>
      </c>
      <c r="H166" s="2">
        <v>-11.142182</v>
      </c>
      <c r="I166" s="2">
        <v>-81.180000000000007</v>
      </c>
    </row>
    <row r="167" spans="2:9" x14ac:dyDescent="0.25">
      <c r="B167" s="2">
        <v>-1.0890854999999999</v>
      </c>
      <c r="C167" s="2">
        <v>-91.26</v>
      </c>
      <c r="H167" s="2">
        <v>-8.2938050000000008</v>
      </c>
      <c r="I167" s="2">
        <v>-98.28</v>
      </c>
    </row>
    <row r="168" spans="2:9" x14ac:dyDescent="0.25">
      <c r="B168" s="2">
        <v>0</v>
      </c>
      <c r="C168" s="2">
        <v>-108.71999</v>
      </c>
      <c r="H168" s="2">
        <v>-10.053096999999999</v>
      </c>
      <c r="I168" s="2">
        <v>-91.44</v>
      </c>
    </row>
    <row r="169" spans="2:9" x14ac:dyDescent="0.25">
      <c r="B169" s="2">
        <v>0.67020650000000004</v>
      </c>
      <c r="C169" s="2">
        <v>-122.94</v>
      </c>
      <c r="H169" s="2">
        <v>-11.728612999999999</v>
      </c>
      <c r="I169" s="2">
        <v>-76.14</v>
      </c>
    </row>
    <row r="170" spans="2:9" x14ac:dyDescent="0.25">
      <c r="B170" s="2">
        <v>0.67020650000000004</v>
      </c>
      <c r="C170" s="2">
        <v>-136.62</v>
      </c>
      <c r="H170" s="2">
        <v>-14.409438</v>
      </c>
      <c r="I170" s="2">
        <v>-58.859996000000002</v>
      </c>
    </row>
    <row r="171" spans="2:9" x14ac:dyDescent="0.25">
      <c r="B171" s="2">
        <v>-0.16755162000000001</v>
      </c>
      <c r="C171" s="2">
        <v>-126.36</v>
      </c>
      <c r="H171" s="2">
        <v>-18.346902</v>
      </c>
      <c r="I171" s="2">
        <v>-41.94</v>
      </c>
    </row>
    <row r="172" spans="2:9" x14ac:dyDescent="0.25">
      <c r="B172" s="2">
        <v>-1.3404130000000001</v>
      </c>
      <c r="C172" s="2">
        <v>-113.579992</v>
      </c>
      <c r="H172" s="2">
        <v>-17.257815999999998</v>
      </c>
      <c r="I172" s="2">
        <v>-53.28</v>
      </c>
    </row>
    <row r="173" spans="2:9" x14ac:dyDescent="0.25">
      <c r="B173" s="2">
        <v>-2.0943952000000001</v>
      </c>
      <c r="C173" s="2">
        <v>-98.100008000000003</v>
      </c>
      <c r="H173" s="2">
        <v>-14.241887</v>
      </c>
      <c r="I173" s="2">
        <v>-72.540000000000006</v>
      </c>
    </row>
    <row r="174" spans="2:9" x14ac:dyDescent="0.25">
      <c r="B174" s="2">
        <v>-2.0943952000000001</v>
      </c>
      <c r="C174" s="2">
        <v>-87.3</v>
      </c>
      <c r="H174" s="2">
        <v>-11.058407000000001</v>
      </c>
      <c r="I174" s="2">
        <v>-88.92</v>
      </c>
    </row>
    <row r="175" spans="2:9" x14ac:dyDescent="0.25">
      <c r="B175" s="2">
        <v>-0.67020650000000004</v>
      </c>
      <c r="C175" s="2">
        <v>-103.14</v>
      </c>
      <c r="H175" s="2">
        <v>-9.0477880000000006</v>
      </c>
      <c r="I175" s="2">
        <v>-102.96001</v>
      </c>
    </row>
    <row r="176" spans="2:9" x14ac:dyDescent="0.25">
      <c r="B176" s="2">
        <v>0.67020650000000004</v>
      </c>
      <c r="C176" s="2">
        <v>-120.06</v>
      </c>
      <c r="H176" s="2">
        <v>-11.561062</v>
      </c>
      <c r="I176" s="2">
        <v>-88.38</v>
      </c>
    </row>
    <row r="177" spans="2:9" x14ac:dyDescent="0.25">
      <c r="B177" s="2">
        <v>1.3404130000000001</v>
      </c>
      <c r="C177" s="2">
        <v>-134.63999999999999</v>
      </c>
      <c r="H177" s="2">
        <v>-14.158111999999999</v>
      </c>
      <c r="I177" s="2">
        <v>-71.28</v>
      </c>
    </row>
    <row r="178" spans="2:9" x14ac:dyDescent="0.25">
      <c r="B178" s="2">
        <v>1.1728613000000001</v>
      </c>
      <c r="C178" s="2">
        <v>-144.9</v>
      </c>
      <c r="H178" s="2">
        <v>-16.587610000000002</v>
      </c>
      <c r="I178" s="2">
        <v>-52.38</v>
      </c>
    </row>
    <row r="179" spans="2:9" x14ac:dyDescent="0.25">
      <c r="B179" s="2">
        <v>0.33510324000000002</v>
      </c>
      <c r="C179" s="2">
        <v>-132.66</v>
      </c>
      <c r="H179" s="2">
        <v>-17.676694000000001</v>
      </c>
      <c r="I179" s="2">
        <v>-40.5</v>
      </c>
    </row>
    <row r="180" spans="2:9" x14ac:dyDescent="0.25">
      <c r="B180" s="2">
        <v>-0.75398224000000003</v>
      </c>
      <c r="C180" s="2">
        <v>-120.06</v>
      </c>
      <c r="H180" s="2">
        <v>-15.666076</v>
      </c>
      <c r="I180" s="2">
        <v>-56.7</v>
      </c>
    </row>
    <row r="181" spans="2:9" x14ac:dyDescent="0.25">
      <c r="B181" s="2">
        <v>-1.4241887</v>
      </c>
      <c r="C181" s="2">
        <v>-107.81999</v>
      </c>
      <c r="H181" s="2">
        <v>-12.901474</v>
      </c>
      <c r="I181" s="2">
        <v>-75.42</v>
      </c>
    </row>
    <row r="182" spans="2:9" x14ac:dyDescent="0.25">
      <c r="B182" s="2">
        <v>-1.0053097</v>
      </c>
      <c r="C182" s="2">
        <v>-102.6</v>
      </c>
      <c r="H182" s="2">
        <v>-9.9693210000000008</v>
      </c>
      <c r="I182" s="2">
        <v>-91.62</v>
      </c>
    </row>
    <row r="183" spans="2:9" x14ac:dyDescent="0.25">
      <c r="B183" s="2">
        <v>0.50265484000000005</v>
      </c>
      <c r="C183" s="2">
        <v>-118.98</v>
      </c>
      <c r="H183" s="2">
        <v>-11.561062</v>
      </c>
      <c r="I183" s="2">
        <v>-93.42</v>
      </c>
    </row>
    <row r="184" spans="2:9" x14ac:dyDescent="0.25">
      <c r="B184" s="2">
        <v>1.2566371000000001</v>
      </c>
      <c r="C184" s="2">
        <v>-136.80000000000001</v>
      </c>
      <c r="H184" s="2">
        <v>-14.241887</v>
      </c>
      <c r="I184" s="2">
        <v>-78.119991999999996</v>
      </c>
    </row>
    <row r="185" spans="2:9" x14ac:dyDescent="0.25">
      <c r="B185" s="2">
        <v>1.5917402</v>
      </c>
      <c r="C185" s="2">
        <v>-150.30000000000001</v>
      </c>
      <c r="H185" s="2">
        <v>-17.425367999999999</v>
      </c>
      <c r="I185" s="2">
        <v>-62.82</v>
      </c>
    </row>
    <row r="186" spans="2:9" x14ac:dyDescent="0.25">
      <c r="B186" s="2">
        <v>1.1728613000000001</v>
      </c>
      <c r="C186" s="2">
        <v>-146.69999999999999</v>
      </c>
      <c r="H186" s="2">
        <v>-20.441298</v>
      </c>
      <c r="I186" s="2">
        <v>-43.02</v>
      </c>
    </row>
    <row r="187" spans="2:9" x14ac:dyDescent="0.25">
      <c r="B187" s="2">
        <v>-0.16755162000000001</v>
      </c>
      <c r="C187" s="2">
        <v>-134.28</v>
      </c>
      <c r="H187" s="2">
        <v>-20.106193999999999</v>
      </c>
      <c r="I187" s="2">
        <v>-44.82</v>
      </c>
    </row>
    <row r="188" spans="2:9" x14ac:dyDescent="0.25">
      <c r="B188" s="2">
        <v>-1.0890854999999999</v>
      </c>
      <c r="C188" s="2">
        <v>-121.14</v>
      </c>
      <c r="H188" s="2">
        <v>-17.760472</v>
      </c>
      <c r="I188" s="2">
        <v>-63.539996000000002</v>
      </c>
    </row>
    <row r="189" spans="2:9" x14ac:dyDescent="0.25">
      <c r="B189" s="2">
        <v>-1.3404130000000001</v>
      </c>
      <c r="C189" s="2">
        <v>-107.46</v>
      </c>
      <c r="H189" s="2">
        <v>-14.828317</v>
      </c>
      <c r="I189" s="2">
        <v>-82.979991999999996</v>
      </c>
    </row>
    <row r="190" spans="2:9" x14ac:dyDescent="0.25">
      <c r="B190" s="2">
        <v>-0.16755162000000001</v>
      </c>
      <c r="C190" s="2">
        <v>-113.94</v>
      </c>
      <c r="H190" s="2">
        <v>-12.063715999999999</v>
      </c>
      <c r="I190" s="2">
        <v>-99.9</v>
      </c>
    </row>
    <row r="191" spans="2:9" x14ac:dyDescent="0.25">
      <c r="B191" s="2">
        <v>1.4241887</v>
      </c>
      <c r="C191" s="2">
        <v>-131.40001000000001</v>
      </c>
      <c r="H191" s="2">
        <v>-15.666076</v>
      </c>
      <c r="I191" s="2">
        <v>-88.92</v>
      </c>
    </row>
    <row r="192" spans="2:9" x14ac:dyDescent="0.25">
      <c r="B192" s="2">
        <v>2.3457226000000002</v>
      </c>
      <c r="C192" s="2">
        <v>-144.36000000000001</v>
      </c>
      <c r="H192" s="2">
        <v>-17.928021999999999</v>
      </c>
      <c r="I192" s="2">
        <v>-73.44</v>
      </c>
    </row>
    <row r="193" spans="2:9" x14ac:dyDescent="0.25">
      <c r="B193" s="2">
        <v>2.4294983999999999</v>
      </c>
      <c r="C193" s="2">
        <v>-158.4</v>
      </c>
      <c r="H193" s="2">
        <v>-18.682003999999999</v>
      </c>
      <c r="I193" s="2">
        <v>-54.719996000000002</v>
      </c>
    </row>
    <row r="194" spans="2:9" x14ac:dyDescent="0.25">
      <c r="B194" s="2">
        <v>1.5079644999999999</v>
      </c>
      <c r="C194" s="2">
        <v>-146.52000000000001</v>
      </c>
      <c r="H194" s="2">
        <v>-22.703244000000002</v>
      </c>
      <c r="I194" s="2">
        <v>-37.260004000000002</v>
      </c>
    </row>
    <row r="195" spans="2:9" x14ac:dyDescent="0.25">
      <c r="B195" s="2">
        <v>0.41887906800000002</v>
      </c>
      <c r="C195" s="2">
        <v>-132.30000000000001</v>
      </c>
      <c r="H195" s="2">
        <v>-20.357521999999999</v>
      </c>
      <c r="I195" s="2">
        <v>-51.66</v>
      </c>
    </row>
    <row r="196" spans="2:9" x14ac:dyDescent="0.25">
      <c r="B196" s="2">
        <v>-0.50265484000000005</v>
      </c>
      <c r="C196" s="2">
        <v>-118.8</v>
      </c>
      <c r="H196" s="2">
        <v>-18.849556</v>
      </c>
      <c r="I196" s="2">
        <v>-66.42</v>
      </c>
    </row>
    <row r="197" spans="2:9" x14ac:dyDescent="0.25">
      <c r="B197" s="2">
        <v>-0.58643067999999998</v>
      </c>
      <c r="C197" s="2">
        <v>-107.64</v>
      </c>
      <c r="H197" s="2">
        <v>-15.5823</v>
      </c>
      <c r="I197" s="2">
        <v>-86.58</v>
      </c>
    </row>
    <row r="198" spans="2:9" x14ac:dyDescent="0.25">
      <c r="B198" s="2">
        <v>1.0053097</v>
      </c>
      <c r="C198" s="2">
        <v>-124.740008</v>
      </c>
      <c r="H198" s="2">
        <v>-15.5823</v>
      </c>
      <c r="I198" s="2">
        <v>-98.64</v>
      </c>
    </row>
    <row r="199" spans="2:9" x14ac:dyDescent="0.25">
      <c r="B199" s="2">
        <v>2.2619470000000002</v>
      </c>
      <c r="C199" s="2">
        <v>-140.22</v>
      </c>
      <c r="H199" s="2">
        <v>-19.017106800000001</v>
      </c>
      <c r="I199" s="2">
        <v>-83.52</v>
      </c>
    </row>
    <row r="200" spans="2:9" x14ac:dyDescent="0.25">
      <c r="B200" s="2">
        <v>2.7646016000000002</v>
      </c>
      <c r="C200" s="2">
        <v>-151.19999999999999</v>
      </c>
      <c r="H200" s="2">
        <v>-21.279053999999999</v>
      </c>
      <c r="I200" s="2">
        <v>-66.599999999999994</v>
      </c>
    </row>
    <row r="201" spans="2:9" x14ac:dyDescent="0.25">
      <c r="B201" s="2">
        <v>2.3457226000000002</v>
      </c>
      <c r="C201" s="2">
        <v>-153.54</v>
      </c>
      <c r="H201" s="2">
        <v>-24.462536</v>
      </c>
      <c r="I201" s="2">
        <v>-46.8</v>
      </c>
    </row>
    <row r="202" spans="2:9" x14ac:dyDescent="0.25">
      <c r="B202" s="2">
        <v>1.0890854999999999</v>
      </c>
      <c r="C202" s="2">
        <v>-141.30000000000001</v>
      </c>
      <c r="H202" s="2">
        <v>-25.55162</v>
      </c>
      <c r="I202" s="2">
        <v>-41.22</v>
      </c>
    </row>
    <row r="203" spans="2:9" x14ac:dyDescent="0.25">
      <c r="B203" s="2">
        <v>0</v>
      </c>
      <c r="C203" s="2">
        <v>-128.34</v>
      </c>
      <c r="H203" s="2">
        <v>-22.787019999999998</v>
      </c>
      <c r="I203" s="2">
        <v>-60.48</v>
      </c>
    </row>
    <row r="204" spans="2:9" x14ac:dyDescent="0.25">
      <c r="B204" s="2">
        <v>-0.58643067999999998</v>
      </c>
      <c r="C204" s="2">
        <v>-116.46</v>
      </c>
      <c r="H204" s="2">
        <v>-21.78171</v>
      </c>
      <c r="I204" s="2">
        <v>-78.119991999999996</v>
      </c>
    </row>
    <row r="205" spans="2:9" x14ac:dyDescent="0.25">
      <c r="B205" s="2">
        <v>-8.3775810000000006E-2</v>
      </c>
      <c r="C205" s="2">
        <v>-113.579992</v>
      </c>
      <c r="H205" s="2">
        <v>-18.263126</v>
      </c>
      <c r="I205" s="2">
        <v>-96.119991999999996</v>
      </c>
    </row>
    <row r="206" spans="2:9" x14ac:dyDescent="0.25">
      <c r="B206" s="2">
        <v>1.3404130000000001</v>
      </c>
      <c r="C206" s="2">
        <v>-130.5</v>
      </c>
      <c r="H206" s="2">
        <v>-18.849556</v>
      </c>
      <c r="I206" s="2">
        <v>-93.24</v>
      </c>
    </row>
    <row r="207" spans="2:9" x14ac:dyDescent="0.25">
      <c r="B207" s="2">
        <v>2.4294983999999999</v>
      </c>
      <c r="C207" s="2">
        <v>-144.9</v>
      </c>
      <c r="H207" s="2">
        <v>-21.111502000000002</v>
      </c>
      <c r="I207" s="2">
        <v>-80.64</v>
      </c>
    </row>
    <row r="208" spans="2:9" x14ac:dyDescent="0.25">
      <c r="B208" s="2">
        <v>2.7646016000000002</v>
      </c>
      <c r="C208" s="2">
        <v>-157.32</v>
      </c>
      <c r="H208" s="2">
        <v>-24.462536</v>
      </c>
      <c r="I208" s="2">
        <v>-61.2</v>
      </c>
    </row>
    <row r="209" spans="2:9" x14ac:dyDescent="0.25">
      <c r="B209" s="2">
        <v>1.92684352</v>
      </c>
      <c r="C209" s="2">
        <v>-154.80000000000001</v>
      </c>
      <c r="H209" s="2">
        <v>-27.813568</v>
      </c>
      <c r="I209" s="2">
        <v>-37.440004000000002</v>
      </c>
    </row>
    <row r="210" spans="2:9" x14ac:dyDescent="0.25">
      <c r="B210" s="2">
        <v>0.58643067999999998</v>
      </c>
      <c r="C210" s="2">
        <v>-144</v>
      </c>
      <c r="H210" s="2">
        <v>-26.808260000000001</v>
      </c>
      <c r="I210" s="2">
        <v>-45.539996000000002</v>
      </c>
    </row>
    <row r="211" spans="2:9" x14ac:dyDescent="0.25">
      <c r="B211" s="2">
        <v>-0.33510324000000002</v>
      </c>
      <c r="C211" s="2">
        <v>-131.04</v>
      </c>
      <c r="H211" s="2">
        <v>-23.959879999999998</v>
      </c>
      <c r="I211" s="2">
        <v>-64.8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Javis Ratanapeanchai</dc:creator>
  <cp:lastModifiedBy>Sirivarang Tuenbuarabat</cp:lastModifiedBy>
  <dcterms:created xsi:type="dcterms:W3CDTF">2026-03-31T08:25:55Z</dcterms:created>
  <dcterms:modified xsi:type="dcterms:W3CDTF">2026-03-31T08:51:24Z</dcterms:modified>
</cp:coreProperties>
</file>